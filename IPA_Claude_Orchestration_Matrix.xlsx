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A_Process_Matrix" sheetId="1" state="visible" r:id="rId1"/>
    <sheet xmlns:r="http://schemas.openxmlformats.org/officeDocument/2006/relationships" name="Specialized_Agents" sheetId="2" state="visible" r:id="rId2"/>
    <sheet xmlns:r="http://schemas.openxmlformats.org/officeDocument/2006/relationships" name="Dynamic_Agent_Spec" sheetId="3" state="visible" r:id="rId3"/>
    <sheet xmlns:r="http://schemas.openxmlformats.org/officeDocument/2006/relationships" name="Skills_Catalog" sheetId="4" state="visible" r:id="rId4"/>
    <sheet xmlns:r="http://schemas.openxmlformats.org/officeDocument/2006/relationships" name="Agent_Invocat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6B6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textRotation="45"/>
    </xf>
    <xf numFmtId="0" fontId="3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25" customWidth="1" min="11" max="11"/>
    <col width="25" customWidth="1" min="12" max="12"/>
  </cols>
  <sheetData>
    <row r="1">
      <c r="A1" s="1" t="inlineStr">
        <is>
          <t>L1_プロセス群</t>
        </is>
      </c>
      <c r="B1" s="1" t="inlineStr">
        <is>
          <t>L2_プロセス</t>
        </is>
      </c>
      <c r="C1" s="1" t="inlineStr">
        <is>
          <t>L3_アクティビティ</t>
        </is>
      </c>
      <c r="D1" s="1" t="inlineStr">
        <is>
          <t>IPA_ID</t>
        </is>
      </c>
      <c r="E1" s="1" t="inlineStr">
        <is>
          <t>主担当Agent</t>
        </is>
      </c>
      <c r="F1" s="1" t="inlineStr">
        <is>
          <t>支援Agent1</t>
        </is>
      </c>
      <c r="G1" s="1" t="inlineStr">
        <is>
          <t>支援Agent2</t>
        </is>
      </c>
      <c r="H1" s="1" t="inlineStr">
        <is>
          <t>必須Skill1</t>
        </is>
      </c>
      <c r="I1" s="1" t="inlineStr">
        <is>
          <t>必須Skill2</t>
        </is>
      </c>
      <c r="J1" s="1" t="inlineStr">
        <is>
          <t>必須Skill3</t>
        </is>
      </c>
      <c r="K1" s="1" t="inlineStr">
        <is>
          <t>主要成果物</t>
        </is>
      </c>
      <c r="L1" s="1" t="inlineStr">
        <is>
          <t>品質ゲート基準</t>
        </is>
      </c>
    </row>
    <row r="2">
      <c r="A2" s="2" t="inlineStr">
        <is>
          <t>企画プロセス群</t>
        </is>
      </c>
      <c r="B2" s="3" t="inlineStr">
        <is>
          <t>システム化構想の立案</t>
        </is>
      </c>
      <c r="C2" s="4" t="inlineStr">
        <is>
          <t>経営・事業要件の定義</t>
        </is>
      </c>
      <c r="D2" s="5" t="inlineStr">
        <is>
          <t>2.1.1.1</t>
        </is>
      </c>
      <c r="E2" s="6" t="inlineStr">
        <is>
          <t>PM</t>
        </is>
      </c>
      <c r="F2" s="7" t="inlineStr">
        <is>
          <t>BizAnalyst</t>
        </is>
      </c>
      <c r="G2" s="5" t="inlineStr">
        <is>
          <t>-</t>
        </is>
      </c>
      <c r="H2" s="5" t="inlineStr">
        <is>
          <t>business-analysis</t>
        </is>
      </c>
      <c r="I2" s="5" t="inlineStr">
        <is>
          <t>stakeholder-mgmt</t>
        </is>
      </c>
      <c r="J2" s="5" t="inlineStr">
        <is>
          <t>-</t>
        </is>
      </c>
      <c r="K2" s="5" t="inlineStr">
        <is>
          <t>経営要件定義書</t>
        </is>
      </c>
      <c r="L2" s="5" t="inlineStr">
        <is>
          <t>経営層承認</t>
        </is>
      </c>
    </row>
    <row r="3">
      <c r="A3" s="2" t="inlineStr">
        <is>
          <t>企画プロセス群</t>
        </is>
      </c>
      <c r="B3" s="3" t="inlineStr">
        <is>
          <t>システム化構想の立案</t>
        </is>
      </c>
      <c r="C3" s="4" t="inlineStr">
        <is>
          <t>システム化構想の文書化</t>
        </is>
      </c>
      <c r="D3" s="5" t="inlineStr">
        <is>
          <t>2.1.1.2</t>
        </is>
      </c>
      <c r="E3" s="6" t="inlineStr">
        <is>
          <t>PM</t>
        </is>
      </c>
      <c r="F3" s="7" t="inlineStr">
        <is>
          <t>AppArchitect</t>
        </is>
      </c>
      <c r="G3" s="5" t="inlineStr">
        <is>
          <t>-</t>
        </is>
      </c>
      <c r="H3" s="5" t="inlineStr">
        <is>
          <t>documentation</t>
        </is>
      </c>
      <c r="I3" s="5" t="inlineStr">
        <is>
          <t>system-planning</t>
        </is>
      </c>
      <c r="J3" s="5" t="inlineStr">
        <is>
          <t>-</t>
        </is>
      </c>
      <c r="K3" s="5" t="inlineStr">
        <is>
          <t>システム化構想書</t>
        </is>
      </c>
      <c r="L3" s="5" t="inlineStr">
        <is>
          <t>CIO承認</t>
        </is>
      </c>
    </row>
    <row r="4">
      <c r="A4" s="2" t="inlineStr">
        <is>
          <t>企画プロセス群</t>
        </is>
      </c>
      <c r="B4" s="3" t="inlineStr">
        <is>
          <t>システム化構想の立案</t>
        </is>
      </c>
      <c r="C4" s="4" t="inlineStr">
        <is>
          <t>システム化構想の承認</t>
        </is>
      </c>
      <c r="D4" s="5" t="inlineStr">
        <is>
          <t>2.1.1.3</t>
        </is>
      </c>
      <c r="E4" s="6" t="inlineStr">
        <is>
          <t>PM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stakeholder-mgmt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承認記録</t>
        </is>
      </c>
      <c r="L4" s="5" t="inlineStr">
        <is>
          <t>ステアリングコミッティ承認</t>
        </is>
      </c>
    </row>
    <row r="5">
      <c r="A5" s="2" t="inlineStr">
        <is>
          <t>企画プロセス群</t>
        </is>
      </c>
      <c r="B5" s="3" t="inlineStr">
        <is>
          <t>システム化計画の立案</t>
        </is>
      </c>
      <c r="C5" s="4" t="inlineStr">
        <is>
          <t>プロジェクト目標の設定</t>
        </is>
      </c>
      <c r="D5" s="5" t="inlineStr">
        <is>
          <t>2.1.2.1</t>
        </is>
      </c>
      <c r="E5" s="6" t="inlineStr">
        <is>
          <t>PM</t>
        </is>
      </c>
      <c r="F5" s="7" t="inlineStr">
        <is>
          <t>AppArchitect</t>
        </is>
      </c>
      <c r="G5" s="5" t="inlineStr">
        <is>
          <t>-</t>
        </is>
      </c>
      <c r="H5" s="5" t="inlineStr">
        <is>
          <t>project-mgmt</t>
        </is>
      </c>
      <c r="I5" s="5" t="inlineStr">
        <is>
          <t>estimation</t>
        </is>
      </c>
      <c r="J5" s="5" t="inlineStr">
        <is>
          <t>-</t>
        </is>
      </c>
      <c r="K5" s="5" t="inlineStr">
        <is>
          <t>プロジェクト目標書</t>
        </is>
      </c>
      <c r="L5" s="5" t="inlineStr">
        <is>
          <t>スポンサー承認</t>
        </is>
      </c>
    </row>
    <row r="6">
      <c r="A6" s="2" t="inlineStr">
        <is>
          <t>企画プロセス群</t>
        </is>
      </c>
      <c r="B6" s="3" t="inlineStr">
        <is>
          <t>システム化計画の立案</t>
        </is>
      </c>
      <c r="C6" s="4" t="inlineStr">
        <is>
          <t>実現可能性調査</t>
        </is>
      </c>
      <c r="D6" s="5" t="inlineStr">
        <is>
          <t>2.1.2.2</t>
        </is>
      </c>
      <c r="E6" s="6" t="inlineStr">
        <is>
          <t>PM</t>
        </is>
      </c>
      <c r="F6" s="7" t="inlineStr">
        <is>
          <t>AppArchitect</t>
        </is>
      </c>
      <c r="G6" s="7" t="inlineStr">
        <is>
          <t>InfraArchitect</t>
        </is>
      </c>
      <c r="H6" s="5" t="inlineStr">
        <is>
          <t>feasibility-study</t>
        </is>
      </c>
      <c r="I6" s="5" t="inlineStr">
        <is>
          <t>aws-infrastructure</t>
        </is>
      </c>
      <c r="J6" s="5" t="inlineStr">
        <is>
          <t>cost-estimation</t>
        </is>
      </c>
      <c r="K6" s="5" t="inlineStr">
        <is>
          <t>実現可能性調査報告書</t>
        </is>
      </c>
      <c r="L6" s="5" t="inlineStr">
        <is>
          <t>技術・コスト妥当性確認</t>
        </is>
      </c>
    </row>
    <row r="7">
      <c r="A7" s="2" t="inlineStr">
        <is>
          <t>企画プロセス群</t>
        </is>
      </c>
      <c r="B7" s="3" t="inlineStr">
        <is>
          <t>システム化計画の立案</t>
        </is>
      </c>
      <c r="C7" s="4" t="inlineStr">
        <is>
          <t>リスク分析</t>
        </is>
      </c>
      <c r="D7" s="5" t="inlineStr">
        <is>
          <t>2.1.2.3</t>
        </is>
      </c>
      <c r="E7" s="6" t="inlineStr">
        <is>
          <t>PM</t>
        </is>
      </c>
      <c r="F7" s="7" t="inlineStr">
        <is>
          <t>SecurityArchitect</t>
        </is>
      </c>
      <c r="G7" s="5" t="inlineStr">
        <is>
          <t>-</t>
        </is>
      </c>
      <c r="H7" s="5" t="inlineStr">
        <is>
          <t>risk-mgmt</t>
        </is>
      </c>
      <c r="I7" s="5" t="inlineStr">
        <is>
          <t>security-assessment</t>
        </is>
      </c>
      <c r="J7" s="5" t="inlineStr">
        <is>
          <t>-</t>
        </is>
      </c>
      <c r="K7" s="5" t="inlineStr">
        <is>
          <t>リスク分析書</t>
        </is>
      </c>
      <c r="L7" s="5" t="inlineStr">
        <is>
          <t>リスク受容判断</t>
        </is>
      </c>
    </row>
    <row r="8">
      <c r="A8" s="2" t="inlineStr">
        <is>
          <t>企画プロセス群</t>
        </is>
      </c>
      <c r="B8" s="3" t="inlineStr">
        <is>
          <t>システム化計画の立案</t>
        </is>
      </c>
      <c r="C8" s="4" t="inlineStr">
        <is>
          <t>システム化計画の文書化</t>
        </is>
      </c>
      <c r="D8" s="5" t="inlineStr">
        <is>
          <t>2.1.2.4</t>
        </is>
      </c>
      <c r="E8" s="6" t="inlineStr">
        <is>
          <t>PM</t>
        </is>
      </c>
      <c r="F8" s="7" t="inlineStr">
        <is>
          <t>AppArchitect</t>
        </is>
      </c>
      <c r="G8" s="5" t="inlineStr">
        <is>
          <t>-</t>
        </is>
      </c>
      <c r="H8" s="5" t="inlineStr">
        <is>
          <t>documentation</t>
        </is>
      </c>
      <c r="I8" s="5" t="inlineStr">
        <is>
          <t>project-mgmt</t>
        </is>
      </c>
      <c r="J8" s="5" t="inlineStr">
        <is>
          <t>-</t>
        </is>
      </c>
      <c r="K8" s="5" t="inlineStr">
        <is>
          <t>システム化計画書</t>
        </is>
      </c>
      <c r="L8" s="5" t="inlineStr">
        <is>
          <t>予算承認</t>
        </is>
      </c>
    </row>
    <row r="9">
      <c r="A9" s="2" t="inlineStr">
        <is>
          <t>要件定義プロセス群</t>
        </is>
      </c>
      <c r="B9" s="3" t="inlineStr">
        <is>
          <t>利害関係者要件定義</t>
        </is>
      </c>
      <c r="C9" s="4" t="inlineStr">
        <is>
          <t>利害関係者の識別</t>
        </is>
      </c>
      <c r="D9" s="5" t="inlineStr">
        <is>
          <t>2.2.1.1</t>
        </is>
      </c>
      <c r="E9" s="6" t="inlineStr">
        <is>
          <t>PM</t>
        </is>
      </c>
      <c r="F9" s="7" t="inlineStr">
        <is>
          <t>BizAnalyst</t>
        </is>
      </c>
      <c r="G9" s="5" t="inlineStr">
        <is>
          <t>-</t>
        </is>
      </c>
      <c r="H9" s="5" t="inlineStr">
        <is>
          <t>stakeholder-mgmt</t>
        </is>
      </c>
      <c r="I9" s="5" t="inlineStr">
        <is>
          <t>business-analysis</t>
        </is>
      </c>
      <c r="J9" s="5" t="inlineStr">
        <is>
          <t>-</t>
        </is>
      </c>
      <c r="K9" s="5" t="inlineStr">
        <is>
          <t>ステークホルダー一覧</t>
        </is>
      </c>
      <c r="L9" s="5" t="inlineStr">
        <is>
          <t>関係者網羅性確認</t>
        </is>
      </c>
    </row>
    <row r="10">
      <c r="A10" s="2" t="inlineStr">
        <is>
          <t>要件定義プロセス群</t>
        </is>
      </c>
      <c r="B10" s="3" t="inlineStr">
        <is>
          <t>利害関係者要件定義</t>
        </is>
      </c>
      <c r="C10" s="4" t="inlineStr">
        <is>
          <t>要件の引き出し</t>
        </is>
      </c>
      <c r="D10" s="5" t="inlineStr">
        <is>
          <t>2.2.1.2</t>
        </is>
      </c>
      <c r="E10" s="6" t="inlineStr">
        <is>
          <t>PM</t>
        </is>
      </c>
      <c r="F10" s="7" t="inlineStr">
        <is>
          <t>BizAnalyst</t>
        </is>
      </c>
      <c r="G10" s="7" t="inlineStr">
        <is>
          <t>AppArchitect</t>
        </is>
      </c>
      <c r="H10" s="5" t="inlineStr">
        <is>
          <t>requirements-elicitation</t>
        </is>
      </c>
      <c r="I10" s="5" t="inlineStr">
        <is>
          <t>interview-technique</t>
        </is>
      </c>
      <c r="J10" s="5" t="inlineStr">
        <is>
          <t>-</t>
        </is>
      </c>
      <c r="K10" s="5" t="inlineStr">
        <is>
          <t>ヒアリング議事録</t>
        </is>
      </c>
      <c r="L10" s="5" t="inlineStr">
        <is>
          <t>要件網羅性確認</t>
        </is>
      </c>
    </row>
    <row r="11">
      <c r="A11" s="2" t="inlineStr">
        <is>
          <t>要件定義プロセス群</t>
        </is>
      </c>
      <c r="B11" s="3" t="inlineStr">
        <is>
          <t>利害関係者要件定義</t>
        </is>
      </c>
      <c r="C11" s="4" t="inlineStr">
        <is>
          <t>要件の分析</t>
        </is>
      </c>
      <c r="D11" s="5" t="inlineStr">
        <is>
          <t>2.2.1.3</t>
        </is>
      </c>
      <c r="E11" s="6" t="inlineStr">
        <is>
          <t>AppArchitect</t>
        </is>
      </c>
      <c r="F11" s="7" t="inlineStr">
        <is>
          <t>BizAnalyst</t>
        </is>
      </c>
      <c r="G11" s="5" t="inlineStr">
        <is>
          <t>-</t>
        </is>
      </c>
      <c r="H11" s="5" t="inlineStr">
        <is>
          <t>requirements-analysis</t>
        </is>
      </c>
      <c r="I11" s="5" t="inlineStr">
        <is>
          <t>business-analysis</t>
        </is>
      </c>
      <c r="J11" s="5" t="inlineStr">
        <is>
          <t>-</t>
        </is>
      </c>
      <c r="K11" s="5" t="inlineStr">
        <is>
          <t>要件分析書</t>
        </is>
      </c>
      <c r="L11" s="5" t="inlineStr">
        <is>
          <t>矛盾・漏れなし</t>
        </is>
      </c>
    </row>
    <row r="12">
      <c r="A12" s="2" t="inlineStr">
        <is>
          <t>要件定義プロセス群</t>
        </is>
      </c>
      <c r="B12" s="3" t="inlineStr">
        <is>
          <t>利害関係者要件定義</t>
        </is>
      </c>
      <c r="C12" s="4" t="inlineStr">
        <is>
          <t>要件の文書化</t>
        </is>
      </c>
      <c r="D12" s="5" t="inlineStr">
        <is>
          <t>2.2.1.4</t>
        </is>
      </c>
      <c r="E12" s="6" t="inlineStr">
        <is>
          <t>AppArchitect</t>
        </is>
      </c>
      <c r="F12" s="7" t="inlineStr">
        <is>
          <t>PM</t>
        </is>
      </c>
      <c r="G12" s="5" t="inlineStr">
        <is>
          <t>-</t>
        </is>
      </c>
      <c r="H12" s="5" t="inlineStr">
        <is>
          <t>documentation</t>
        </is>
      </c>
      <c r="I12" s="5" t="inlineStr">
        <is>
          <t>ipa-quality-checklist</t>
        </is>
      </c>
      <c r="J12" s="5" t="inlineStr">
        <is>
          <t>-</t>
        </is>
      </c>
      <c r="K12" s="5" t="inlineStr">
        <is>
          <t>利害関係者要件定義書</t>
        </is>
      </c>
      <c r="L12" s="5" t="inlineStr">
        <is>
          <t>レビュー完了</t>
        </is>
      </c>
    </row>
    <row r="13">
      <c r="A13" s="2" t="inlineStr">
        <is>
          <t>要件定義プロセス群</t>
        </is>
      </c>
      <c r="B13" s="3" t="inlineStr">
        <is>
          <t>システム要件定義</t>
        </is>
      </c>
      <c r="C13" s="4" t="inlineStr">
        <is>
          <t>機能要件の定義</t>
        </is>
      </c>
      <c r="D13" s="5" t="inlineStr">
        <is>
          <t>2.2.2.1</t>
        </is>
      </c>
      <c r="E13" s="6" t="inlineStr">
        <is>
          <t>AppArchitect</t>
        </is>
      </c>
      <c r="F13" s="7" t="inlineStr">
        <is>
          <t>BizAnalyst</t>
        </is>
      </c>
      <c r="G13" s="5" t="inlineStr">
        <is>
          <t>-</t>
        </is>
      </c>
      <c r="H13" s="5" t="inlineStr">
        <is>
          <t>functional-requirements</t>
        </is>
      </c>
      <c r="I13" s="5" t="inlineStr">
        <is>
          <t>use-case-modeling</t>
        </is>
      </c>
      <c r="J13" s="5" t="inlineStr">
        <is>
          <t>-</t>
        </is>
      </c>
      <c r="K13" s="5" t="inlineStr">
        <is>
          <t>機能要件定義書</t>
        </is>
      </c>
      <c r="L13" s="5" t="inlineStr">
        <is>
          <t>トレーサビリティ確保</t>
        </is>
      </c>
    </row>
    <row r="14">
      <c r="A14" s="2" t="inlineStr">
        <is>
          <t>要件定義プロセス群</t>
        </is>
      </c>
      <c r="B14" s="3" t="inlineStr">
        <is>
          <t>システム要件定義</t>
        </is>
      </c>
      <c r="C14" s="4" t="inlineStr">
        <is>
          <t>非機能要件の定義</t>
        </is>
      </c>
      <c r="D14" s="5" t="inlineStr">
        <is>
          <t>2.2.2.2</t>
        </is>
      </c>
      <c r="E14" s="6" t="inlineStr">
        <is>
          <t>AppArchitect</t>
        </is>
      </c>
      <c r="F14" s="7" t="inlineStr">
        <is>
          <t>InfraArchitect</t>
        </is>
      </c>
      <c r="G14" s="7" t="inlineStr">
        <is>
          <t>SecurityArchitect</t>
        </is>
      </c>
      <c r="H14" s="5" t="inlineStr">
        <is>
          <t>non-functional-req</t>
        </is>
      </c>
      <c r="I14" s="5" t="inlineStr">
        <is>
          <t>aws-infrastructure</t>
        </is>
      </c>
      <c r="J14" s="5" t="inlineStr">
        <is>
          <t>security-assessment</t>
        </is>
      </c>
      <c r="K14" s="5" t="inlineStr">
        <is>
          <t>非機能要件定義書</t>
        </is>
      </c>
      <c r="L14" s="5" t="inlineStr">
        <is>
          <t>数値目標明確化</t>
        </is>
      </c>
    </row>
    <row r="15">
      <c r="A15" s="2" t="inlineStr">
        <is>
          <t>要件定義プロセス群</t>
        </is>
      </c>
      <c r="B15" s="3" t="inlineStr">
        <is>
          <t>システム要件定義</t>
        </is>
      </c>
      <c r="C15" s="4" t="inlineStr">
        <is>
          <t>インターフェース要件の定義</t>
        </is>
      </c>
      <c r="D15" s="5" t="inlineStr">
        <is>
          <t>2.2.2.3</t>
        </is>
      </c>
      <c r="E15" s="6" t="inlineStr">
        <is>
          <t>AppArchitect</t>
        </is>
      </c>
      <c r="F15" s="7" t="inlineStr">
        <is>
          <t>DataArchitect</t>
        </is>
      </c>
      <c r="G15" s="5" t="inlineStr">
        <is>
          <t>-</t>
        </is>
      </c>
      <c r="H15" s="5" t="inlineStr">
        <is>
          <t>interface-design</t>
        </is>
      </c>
      <c r="I15" s="5" t="inlineStr">
        <is>
          <t>api-design</t>
        </is>
      </c>
      <c r="J15" s="5" t="inlineStr">
        <is>
          <t>-</t>
        </is>
      </c>
      <c r="K15" s="5" t="inlineStr">
        <is>
          <t>I/F要件定義書</t>
        </is>
      </c>
      <c r="L15" s="5" t="inlineStr">
        <is>
          <t>外部システム確認</t>
        </is>
      </c>
    </row>
    <row r="16">
      <c r="A16" s="2" t="inlineStr">
        <is>
          <t>要件定義プロセス群</t>
        </is>
      </c>
      <c r="B16" s="3" t="inlineStr">
        <is>
          <t>システム要件定義</t>
        </is>
      </c>
      <c r="C16" s="4" t="inlineStr">
        <is>
          <t>システム要件の検証</t>
        </is>
      </c>
      <c r="D16" s="5" t="inlineStr">
        <is>
          <t>2.2.2.4</t>
        </is>
      </c>
      <c r="E16" s="6" t="inlineStr">
        <is>
          <t>QA-Lead</t>
        </is>
      </c>
      <c r="F16" s="7" t="inlineStr">
        <is>
          <t>AppArchitect</t>
        </is>
      </c>
      <c r="G16" s="5" t="inlineStr">
        <is>
          <t>-</t>
        </is>
      </c>
      <c r="H16" s="5" t="inlineStr">
        <is>
          <t>requirements-verification</t>
        </is>
      </c>
      <c r="I16" s="5" t="inlineStr">
        <is>
          <t>ipa-quality-checklist</t>
        </is>
      </c>
      <c r="J16" s="5" t="inlineStr">
        <is>
          <t>-</t>
        </is>
      </c>
      <c r="K16" s="5" t="inlineStr">
        <is>
          <t>要件検証報告書</t>
        </is>
      </c>
      <c r="L16" s="5" t="inlineStr">
        <is>
          <t>全要件検証完了</t>
        </is>
      </c>
    </row>
    <row r="17">
      <c r="A17" s="2" t="inlineStr">
        <is>
          <t>システム開発プロセス群</t>
        </is>
      </c>
      <c r="B17" s="3" t="inlineStr">
        <is>
          <t>システム方式設計</t>
        </is>
      </c>
      <c r="C17" s="4" t="inlineStr">
        <is>
          <t>システムアーキテクチャ設計</t>
        </is>
      </c>
      <c r="D17" s="5" t="inlineStr">
        <is>
          <t>2.3.3.1</t>
        </is>
      </c>
      <c r="E17" s="6" t="inlineStr">
        <is>
          <t>AppArchitect</t>
        </is>
      </c>
      <c r="F17" s="7" t="inlineStr">
        <is>
          <t>InfraArchitect</t>
        </is>
      </c>
      <c r="G17" s="5" t="inlineStr">
        <is>
          <t>-</t>
        </is>
      </c>
      <c r="H17" s="5" t="inlineStr">
        <is>
          <t>system-architecture</t>
        </is>
      </c>
      <c r="I17" s="5" t="inlineStr">
        <is>
          <t>aws-infrastructure</t>
        </is>
      </c>
      <c r="J17" s="5" t="inlineStr">
        <is>
          <t>cloud-design-patterns</t>
        </is>
      </c>
      <c r="K17" s="5" t="inlineStr">
        <is>
          <t>システム構成図</t>
        </is>
      </c>
      <c r="L17" s="5" t="inlineStr">
        <is>
          <t>アーキレビュー完了</t>
        </is>
      </c>
    </row>
    <row r="18">
      <c r="A18" s="2" t="inlineStr">
        <is>
          <t>システム開発プロセス群</t>
        </is>
      </c>
      <c r="B18" s="3" t="inlineStr">
        <is>
          <t>システム方式設計</t>
        </is>
      </c>
      <c r="C18" s="4" t="inlineStr">
        <is>
          <t>ハードウェア構成設計</t>
        </is>
      </c>
      <c r="D18" s="5" t="inlineStr">
        <is>
          <t>2.3.3.2</t>
        </is>
      </c>
      <c r="E18" s="6" t="inlineStr">
        <is>
          <t>InfraArchitect</t>
        </is>
      </c>
      <c r="F18" s="7" t="inlineStr">
        <is>
          <t>AppArchitect</t>
        </is>
      </c>
      <c r="G18" s="5" t="inlineStr">
        <is>
          <t>-</t>
        </is>
      </c>
      <c r="H18" s="5" t="inlineStr">
        <is>
          <t>aws-infrastructure</t>
        </is>
      </c>
      <c r="I18" s="5" t="inlineStr">
        <is>
          <t>capacity-planning</t>
        </is>
      </c>
      <c r="J18" s="5" t="inlineStr">
        <is>
          <t>cost-optimization</t>
        </is>
      </c>
      <c r="K18" s="5" t="inlineStr">
        <is>
          <t>HW構成図</t>
        </is>
      </c>
      <c r="L18" s="5" t="inlineStr">
        <is>
          <t>性能要件充足</t>
        </is>
      </c>
    </row>
    <row r="19">
      <c r="A19" s="2" t="inlineStr">
        <is>
          <t>システム開発プロセス群</t>
        </is>
      </c>
      <c r="B19" s="3" t="inlineStr">
        <is>
          <t>システム方式設計</t>
        </is>
      </c>
      <c r="C19" s="4" t="inlineStr">
        <is>
          <t>ソフトウェア構成設計</t>
        </is>
      </c>
      <c r="D19" s="5" t="inlineStr">
        <is>
          <t>2.3.3.3</t>
        </is>
      </c>
      <c r="E19" s="6" t="inlineStr">
        <is>
          <t>AppArchitect</t>
        </is>
      </c>
      <c r="F19" s="7" t="inlineStr">
        <is>
          <t>InfraArchitect</t>
        </is>
      </c>
      <c r="G19" s="5" t="inlineStr">
        <is>
          <t>-</t>
        </is>
      </c>
      <c r="H19" s="5" t="inlineStr">
        <is>
          <t>software-architecture</t>
        </is>
      </c>
      <c r="I19" s="5" t="inlineStr">
        <is>
          <t>microservices</t>
        </is>
      </c>
      <c r="J19" s="5" t="inlineStr">
        <is>
          <t>container-design</t>
        </is>
      </c>
      <c r="K19" s="5" t="inlineStr">
        <is>
          <t>SW構成図</t>
        </is>
      </c>
      <c r="L19" s="5" t="inlineStr">
        <is>
          <t>拡張性確保</t>
        </is>
      </c>
    </row>
    <row r="20">
      <c r="A20" s="2" t="inlineStr">
        <is>
          <t>システム開発プロセス群</t>
        </is>
      </c>
      <c r="B20" s="3" t="inlineStr">
        <is>
          <t>システム方式設計</t>
        </is>
      </c>
      <c r="C20" s="4" t="inlineStr">
        <is>
          <t>ネットワーク設計</t>
        </is>
      </c>
      <c r="D20" s="5" t="inlineStr">
        <is>
          <t>2.3.3.4</t>
        </is>
      </c>
      <c r="E20" s="6" t="inlineStr">
        <is>
          <t>InfraArchitect</t>
        </is>
      </c>
      <c r="F20" s="7" t="inlineStr">
        <is>
          <t>SecurityArchitect</t>
        </is>
      </c>
      <c r="G20" s="5" t="inlineStr">
        <is>
          <t>-</t>
        </is>
      </c>
      <c r="H20" s="5" t="inlineStr">
        <is>
          <t>network-design</t>
        </is>
      </c>
      <c r="I20" s="5" t="inlineStr">
        <is>
          <t>aws-networking</t>
        </is>
      </c>
      <c r="J20" s="5" t="inlineStr">
        <is>
          <t>security-design</t>
        </is>
      </c>
      <c r="K20" s="5" t="inlineStr">
        <is>
          <t>ネットワーク構成図</t>
        </is>
      </c>
      <c r="L20" s="5" t="inlineStr">
        <is>
          <t>セキュリティ要件充足</t>
        </is>
      </c>
    </row>
    <row r="21">
      <c r="A21" s="2" t="inlineStr">
        <is>
          <t>システム開発プロセス群</t>
        </is>
      </c>
      <c r="B21" s="3" t="inlineStr">
        <is>
          <t>システム方式設計</t>
        </is>
      </c>
      <c r="C21" s="4" t="inlineStr">
        <is>
          <t>データベース論理設計</t>
        </is>
      </c>
      <c r="D21" s="5" t="inlineStr">
        <is>
          <t>2.3.3.5</t>
        </is>
      </c>
      <c r="E21" s="6" t="inlineStr">
        <is>
          <t>DataArchitect</t>
        </is>
      </c>
      <c r="F21" s="7" t="inlineStr">
        <is>
          <t>AppArchitect</t>
        </is>
      </c>
      <c r="G21" s="5" t="inlineStr">
        <is>
          <t>-</t>
        </is>
      </c>
      <c r="H21" s="5" t="inlineStr">
        <is>
          <t>database-design</t>
        </is>
      </c>
      <c r="I21" s="5" t="inlineStr">
        <is>
          <t>data-modeling</t>
        </is>
      </c>
      <c r="J21" s="5" t="inlineStr">
        <is>
          <t>postgresql-expert</t>
        </is>
      </c>
      <c r="K21" s="5" t="inlineStr">
        <is>
          <t>ER図・DB論理設計書</t>
        </is>
      </c>
      <c r="L21" s="5" t="inlineStr">
        <is>
          <t>正規化完了</t>
        </is>
      </c>
    </row>
    <row r="22">
      <c r="A22" s="2" t="inlineStr">
        <is>
          <t>システム開発プロセス群</t>
        </is>
      </c>
      <c r="B22" s="3" t="inlineStr">
        <is>
          <t>システム方式設計</t>
        </is>
      </c>
      <c r="C22" s="4" t="inlineStr">
        <is>
          <t>セキュリティ方式設計</t>
        </is>
      </c>
      <c r="D22" s="5" t="inlineStr">
        <is>
          <t>2.3.3.6</t>
        </is>
      </c>
      <c r="E22" s="6" t="inlineStr">
        <is>
          <t>SecurityArchitect</t>
        </is>
      </c>
      <c r="F22" s="7" t="inlineStr">
        <is>
          <t>InfraArchitect</t>
        </is>
      </c>
      <c r="G22" s="5" t="inlineStr">
        <is>
          <t>-</t>
        </is>
      </c>
      <c r="H22" s="5" t="inlineStr">
        <is>
          <t>security-design</t>
        </is>
      </c>
      <c r="I22" s="5" t="inlineStr">
        <is>
          <t>aws-security</t>
        </is>
      </c>
      <c r="J22" s="5" t="inlineStr">
        <is>
          <t>compliance</t>
        </is>
      </c>
      <c r="K22" s="5" t="inlineStr">
        <is>
          <t>セキュリティ設計書</t>
        </is>
      </c>
      <c r="L22" s="5" t="inlineStr">
        <is>
          <t>脅威モデリング完了</t>
        </is>
      </c>
    </row>
    <row r="23">
      <c r="A23" s="2" t="inlineStr">
        <is>
          <t>ソフトウェア実装プロセス群</t>
        </is>
      </c>
      <c r="B23" s="3" t="inlineStr">
        <is>
          <t>ソフトウェア要件定義</t>
        </is>
      </c>
      <c r="C23" s="4" t="inlineStr">
        <is>
          <t>ソフトウェア機能要件定義</t>
        </is>
      </c>
      <c r="D23" s="5" t="inlineStr">
        <is>
          <t>2.4.2.1</t>
        </is>
      </c>
      <c r="E23" s="6" t="inlineStr">
        <is>
          <t>AppArchitect</t>
        </is>
      </c>
      <c r="F23" s="7" t="inlineStr">
        <is>
          <t>Dev-Frontend</t>
        </is>
      </c>
      <c r="G23" s="7" t="inlineStr">
        <is>
          <t>Dev-Backend</t>
        </is>
      </c>
      <c r="H23" s="5" t="inlineStr">
        <is>
          <t>software-requirements</t>
        </is>
      </c>
      <c r="I23" s="5" t="inlineStr">
        <is>
          <t>api-design</t>
        </is>
      </c>
      <c r="J23" s="5" t="inlineStr">
        <is>
          <t>-</t>
        </is>
      </c>
      <c r="K23" s="5" t="inlineStr">
        <is>
          <t>SW機能要件書</t>
        </is>
      </c>
      <c r="L23" s="5" t="inlineStr">
        <is>
          <t>開発チームレビュー</t>
        </is>
      </c>
    </row>
    <row r="24">
      <c r="A24" s="2" t="inlineStr">
        <is>
          <t>ソフトウェア実装プロセス群</t>
        </is>
      </c>
      <c r="B24" s="3" t="inlineStr">
        <is>
          <t>ソフトウェア要件定義</t>
        </is>
      </c>
      <c r="C24" s="4" t="inlineStr">
        <is>
          <t>画面設計</t>
        </is>
      </c>
      <c r="D24" s="5" t="inlineStr">
        <is>
          <t>2.4.2.2</t>
        </is>
      </c>
      <c r="E24" s="6" t="inlineStr">
        <is>
          <t>Dev-Frontend</t>
        </is>
      </c>
      <c r="F24" s="7" t="inlineStr">
        <is>
          <t>UXDesigner</t>
        </is>
      </c>
      <c r="G24" s="5" t="inlineStr">
        <is>
          <t>-</t>
        </is>
      </c>
      <c r="H24" s="5" t="inlineStr">
        <is>
          <t>ui-design</t>
        </is>
      </c>
      <c r="I24" s="5" t="inlineStr">
        <is>
          <t>react-nextjs</t>
        </is>
      </c>
      <c r="J24" s="5" t="inlineStr">
        <is>
          <t>accessibility</t>
        </is>
      </c>
      <c r="K24" s="5" t="inlineStr">
        <is>
          <t>画面設計書</t>
        </is>
      </c>
      <c r="L24" s="5" t="inlineStr">
        <is>
          <t>UI/UXレビュー完了</t>
        </is>
      </c>
    </row>
    <row r="25">
      <c r="A25" s="2" t="inlineStr">
        <is>
          <t>ソフトウェア実装プロセス群</t>
        </is>
      </c>
      <c r="B25" s="3" t="inlineStr">
        <is>
          <t>ソフトウェア要件定義</t>
        </is>
      </c>
      <c r="C25" s="4" t="inlineStr">
        <is>
          <t>帳票設計</t>
        </is>
      </c>
      <c r="D25" s="5" t="inlineStr">
        <is>
          <t>2.4.2.3</t>
        </is>
      </c>
      <c r="E25" s="6" t="inlineStr">
        <is>
          <t>Dev-Backend</t>
        </is>
      </c>
      <c r="F25" s="7" t="inlineStr">
        <is>
          <t>AppArchitect</t>
        </is>
      </c>
      <c r="G25" s="5" t="inlineStr">
        <is>
          <t>-</t>
        </is>
      </c>
      <c r="H25" s="5" t="inlineStr">
        <is>
          <t>report-design</t>
        </is>
      </c>
      <c r="I25" s="5" t="inlineStr">
        <is>
          <t>pdf-generation</t>
        </is>
      </c>
      <c r="J25" s="5" t="inlineStr">
        <is>
          <t>-</t>
        </is>
      </c>
      <c r="K25" s="5" t="inlineStr">
        <is>
          <t>帳票設計書</t>
        </is>
      </c>
      <c r="L25" s="5" t="inlineStr">
        <is>
          <t>出力形式確定</t>
        </is>
      </c>
    </row>
    <row r="26">
      <c r="A26" s="2" t="inlineStr">
        <is>
          <t>ソフトウェア実装プロセス群</t>
        </is>
      </c>
      <c r="B26" s="3" t="inlineStr">
        <is>
          <t>ソフトウェア要件定義</t>
        </is>
      </c>
      <c r="C26" s="4" t="inlineStr">
        <is>
          <t>外部インターフェース設計</t>
        </is>
      </c>
      <c r="D26" s="5" t="inlineStr">
        <is>
          <t>2.4.2.4</t>
        </is>
      </c>
      <c r="E26" s="6" t="inlineStr">
        <is>
          <t>AppArchitect</t>
        </is>
      </c>
      <c r="F26" s="7" t="inlineStr">
        <is>
          <t>Dev-Backend</t>
        </is>
      </c>
      <c r="G26" s="5" t="inlineStr">
        <is>
          <t>-</t>
        </is>
      </c>
      <c r="H26" s="5" t="inlineStr">
        <is>
          <t>api-design</t>
        </is>
      </c>
      <c r="I26" s="5" t="inlineStr">
        <is>
          <t>openapi-spec</t>
        </is>
      </c>
      <c r="J26" s="5" t="inlineStr">
        <is>
          <t>integration-patterns</t>
        </is>
      </c>
      <c r="K26" s="5" t="inlineStr">
        <is>
          <t>API仕様書</t>
        </is>
      </c>
      <c r="L26" s="5" t="inlineStr">
        <is>
          <t>OpenAPI準拠</t>
        </is>
      </c>
    </row>
    <row r="27">
      <c r="A27" s="2" t="inlineStr">
        <is>
          <t>ソフトウェア実装プロセス群</t>
        </is>
      </c>
      <c r="B27" s="3" t="inlineStr">
        <is>
          <t>ソフトウェア方式設計</t>
        </is>
      </c>
      <c r="C27" s="4" t="inlineStr">
        <is>
          <t>ソフトウェアアーキテクチャ設計</t>
        </is>
      </c>
      <c r="D27" s="5" t="inlineStr">
        <is>
          <t>2.4.3.1</t>
        </is>
      </c>
      <c r="E27" s="6" t="inlineStr">
        <is>
          <t>AppArchitect</t>
        </is>
      </c>
      <c r="F27" s="7" t="inlineStr">
        <is>
          <t>Dev-Backend</t>
        </is>
      </c>
      <c r="G27" s="5" t="inlineStr">
        <is>
          <t>-</t>
        </is>
      </c>
      <c r="H27" s="5" t="inlineStr">
        <is>
          <t>software-architecture</t>
        </is>
      </c>
      <c r="I27" s="5" t="inlineStr">
        <is>
          <t>design-patterns</t>
        </is>
      </c>
      <c r="J27" s="5" t="inlineStr">
        <is>
          <t>clean-architecture</t>
        </is>
      </c>
      <c r="K27" s="5" t="inlineStr">
        <is>
          <t>SW方式設計書</t>
        </is>
      </c>
      <c r="L27" s="5" t="inlineStr">
        <is>
          <t>SOLID原則準拠</t>
        </is>
      </c>
    </row>
    <row r="28">
      <c r="A28" s="2" t="inlineStr">
        <is>
          <t>ソフトウェア実装プロセス群</t>
        </is>
      </c>
      <c r="B28" s="3" t="inlineStr">
        <is>
          <t>ソフトウェア方式設計</t>
        </is>
      </c>
      <c r="C28" s="4" t="inlineStr">
        <is>
          <t>モジュール分割設計</t>
        </is>
      </c>
      <c r="D28" s="5" t="inlineStr">
        <is>
          <t>2.4.3.2</t>
        </is>
      </c>
      <c r="E28" s="6" t="inlineStr">
        <is>
          <t>AppArchitect</t>
        </is>
      </c>
      <c r="F28" s="7" t="inlineStr">
        <is>
          <t>Dev-Backend</t>
        </is>
      </c>
      <c r="G28" s="7" t="inlineStr">
        <is>
          <t>Dev-Frontend</t>
        </is>
      </c>
      <c r="H28" s="5" t="inlineStr">
        <is>
          <t>module-design</t>
        </is>
      </c>
      <c r="I28" s="5" t="inlineStr">
        <is>
          <t>coding-standards</t>
        </is>
      </c>
      <c r="J28" s="5" t="inlineStr">
        <is>
          <t>-</t>
        </is>
      </c>
      <c r="K28" s="5" t="inlineStr">
        <is>
          <t>モジュール構成図</t>
        </is>
      </c>
      <c r="L28" s="5" t="inlineStr">
        <is>
          <t>結合度・凝集度確認</t>
        </is>
      </c>
    </row>
    <row r="29">
      <c r="A29" s="2" t="inlineStr">
        <is>
          <t>ソフトウェア実装プロセス群</t>
        </is>
      </c>
      <c r="B29" s="3" t="inlineStr">
        <is>
          <t>ソフトウェア方式設計</t>
        </is>
      </c>
      <c r="C29" s="4" t="inlineStr">
        <is>
          <t>データベース物理設計</t>
        </is>
      </c>
      <c r="D29" s="5" t="inlineStr">
        <is>
          <t>2.4.3.3</t>
        </is>
      </c>
      <c r="E29" s="6" t="inlineStr">
        <is>
          <t>DataArchitect</t>
        </is>
      </c>
      <c r="F29" s="7" t="inlineStr">
        <is>
          <t>InfraArchitect</t>
        </is>
      </c>
      <c r="G29" s="5" t="inlineStr">
        <is>
          <t>-</t>
        </is>
      </c>
      <c r="H29" s="5" t="inlineStr">
        <is>
          <t>database-design</t>
        </is>
      </c>
      <c r="I29" s="5" t="inlineStr">
        <is>
          <t>postgresql-expert</t>
        </is>
      </c>
      <c r="J29" s="5" t="inlineStr">
        <is>
          <t>performance-tuning</t>
        </is>
      </c>
      <c r="K29" s="5" t="inlineStr">
        <is>
          <t>DB物理設計書</t>
        </is>
      </c>
      <c r="L29" s="5" t="inlineStr">
        <is>
          <t>インデックス設計完了</t>
        </is>
      </c>
    </row>
    <row r="30">
      <c r="A30" s="2" t="inlineStr">
        <is>
          <t>ソフトウェア実装プロセス群</t>
        </is>
      </c>
      <c r="B30" s="3" t="inlineStr">
        <is>
          <t>ソフトウェア方式設計</t>
        </is>
      </c>
      <c r="C30" s="4" t="inlineStr">
        <is>
          <t>共通部品設計</t>
        </is>
      </c>
      <c r="D30" s="5" t="inlineStr">
        <is>
          <t>2.4.3.4</t>
        </is>
      </c>
      <c r="E30" s="6" t="inlineStr">
        <is>
          <t>AppArchitect</t>
        </is>
      </c>
      <c r="F30" s="7" t="inlineStr">
        <is>
          <t>Dev-Backend</t>
        </is>
      </c>
      <c r="G30" s="5" t="inlineStr">
        <is>
          <t>-</t>
        </is>
      </c>
      <c r="H30" s="5" t="inlineStr">
        <is>
          <t>component-design</t>
        </is>
      </c>
      <c r="I30" s="5" t="inlineStr">
        <is>
          <t>typescript-expert</t>
        </is>
      </c>
      <c r="J30" s="5" t="inlineStr">
        <is>
          <t>-</t>
        </is>
      </c>
      <c r="K30" s="5" t="inlineStr">
        <is>
          <t>共通部品設計書</t>
        </is>
      </c>
      <c r="L30" s="5" t="inlineStr">
        <is>
          <t>再利用性確保</t>
        </is>
      </c>
    </row>
    <row r="31">
      <c r="A31" s="2" t="inlineStr">
        <is>
          <t>ソフトウェア実装プロセス群</t>
        </is>
      </c>
      <c r="B31" s="3" t="inlineStr">
        <is>
          <t>ソフトウェア詳細設計</t>
        </is>
      </c>
      <c r="C31" s="4" t="inlineStr">
        <is>
          <t>プログラム仕様書作成</t>
        </is>
      </c>
      <c r="D31" s="5" t="inlineStr">
        <is>
          <t>2.4.4.1</t>
        </is>
      </c>
      <c r="E31" s="6" t="inlineStr">
        <is>
          <t>Dev-Backend</t>
        </is>
      </c>
      <c r="F31" s="7" t="inlineStr">
        <is>
          <t>Dev-Frontend</t>
        </is>
      </c>
      <c r="G31" s="5" t="inlineStr">
        <is>
          <t>-</t>
        </is>
      </c>
      <c r="H31" s="5" t="inlineStr">
        <is>
          <t>program-spec</t>
        </is>
      </c>
      <c r="I31" s="5" t="inlineStr">
        <is>
          <t>coding-standards</t>
        </is>
      </c>
      <c r="J31" s="5" t="inlineStr">
        <is>
          <t>-</t>
        </is>
      </c>
      <c r="K31" s="5" t="inlineStr">
        <is>
          <t>プログラム仕様書</t>
        </is>
      </c>
      <c r="L31" s="5" t="inlineStr">
        <is>
          <t>実装可能レベル</t>
        </is>
      </c>
    </row>
    <row r="32">
      <c r="A32" s="2" t="inlineStr">
        <is>
          <t>ソフトウェア実装プロセス群</t>
        </is>
      </c>
      <c r="B32" s="3" t="inlineStr">
        <is>
          <t>ソフトウェア詳細設計</t>
        </is>
      </c>
      <c r="C32" s="4" t="inlineStr">
        <is>
          <t>単体テスト仕様書作成</t>
        </is>
      </c>
      <c r="D32" s="5" t="inlineStr">
        <is>
          <t>2.4.4.2</t>
        </is>
      </c>
      <c r="E32" s="6" t="inlineStr">
        <is>
          <t>QA-Engineer</t>
        </is>
      </c>
      <c r="F32" s="7" t="inlineStr">
        <is>
          <t>Dev-Backend</t>
        </is>
      </c>
      <c r="G32" s="5" t="inlineStr">
        <is>
          <t>-</t>
        </is>
      </c>
      <c r="H32" s="5" t="inlineStr">
        <is>
          <t>test-design</t>
        </is>
      </c>
      <c r="I32" s="5" t="inlineStr">
        <is>
          <t>testing-standards</t>
        </is>
      </c>
      <c r="J32" s="5" t="inlineStr">
        <is>
          <t>-</t>
        </is>
      </c>
      <c r="K32" s="5" t="inlineStr">
        <is>
          <t>単体テスト仕様書</t>
        </is>
      </c>
      <c r="L32" s="5" t="inlineStr">
        <is>
          <t>カバレッジ80%計画</t>
        </is>
      </c>
    </row>
    <row r="33">
      <c r="A33" s="2" t="inlineStr">
        <is>
          <t>ソフトウェア実装プロセス群</t>
        </is>
      </c>
      <c r="B33" s="3" t="inlineStr">
        <is>
          <t>ソフトウェア構築</t>
        </is>
      </c>
      <c r="C33" s="4" t="inlineStr">
        <is>
          <t>フロントエンド実装</t>
        </is>
      </c>
      <c r="D33" s="5" t="inlineStr">
        <is>
          <t>2.4.5.1</t>
        </is>
      </c>
      <c r="E33" s="6" t="inlineStr">
        <is>
          <t>Dev-Frontend</t>
        </is>
      </c>
      <c r="F33" s="7" t="inlineStr">
        <is>
          <t>Dev-React</t>
        </is>
      </c>
      <c r="G33" s="7" t="inlineStr">
        <is>
          <t>Dev-NextJS</t>
        </is>
      </c>
      <c r="H33" s="5" t="inlineStr">
        <is>
          <t>react-nextjs</t>
        </is>
      </c>
      <c r="I33" s="5" t="inlineStr">
        <is>
          <t>typescript-expert</t>
        </is>
      </c>
      <c r="J33" s="5" t="inlineStr">
        <is>
          <t>tailwindcss</t>
        </is>
      </c>
      <c r="K33" s="5" t="inlineStr">
        <is>
          <t>フロントエンドコード</t>
        </is>
      </c>
      <c r="L33" s="5" t="inlineStr">
        <is>
          <t>Lint/Testパス</t>
        </is>
      </c>
    </row>
    <row r="34">
      <c r="A34" s="2" t="inlineStr">
        <is>
          <t>ソフトウェア実装プロセス群</t>
        </is>
      </c>
      <c r="B34" s="3" t="inlineStr">
        <is>
          <t>ソフトウェア構築</t>
        </is>
      </c>
      <c r="C34" s="4" t="inlineStr">
        <is>
          <t>バックエンド実装</t>
        </is>
      </c>
      <c r="D34" s="5" t="inlineStr">
        <is>
          <t>2.4.5.2</t>
        </is>
      </c>
      <c r="E34" s="6" t="inlineStr">
        <is>
          <t>Dev-Backend</t>
        </is>
      </c>
      <c r="F34" s="7" t="inlineStr">
        <is>
          <t>Dev-Python</t>
        </is>
      </c>
      <c r="G34" s="7" t="inlineStr">
        <is>
          <t>Dev-TypeScript</t>
        </is>
      </c>
      <c r="H34" s="5" t="inlineStr">
        <is>
          <t>backend-development</t>
        </is>
      </c>
      <c r="I34" s="5" t="inlineStr">
        <is>
          <t>nestjs-expert</t>
        </is>
      </c>
      <c r="J34" s="5" t="inlineStr">
        <is>
          <t>fastapi-expert</t>
        </is>
      </c>
      <c r="K34" s="5" t="inlineStr">
        <is>
          <t>バックエンドコード</t>
        </is>
      </c>
      <c r="L34" s="5" t="inlineStr">
        <is>
          <t>Lint/Testパス</t>
        </is>
      </c>
    </row>
    <row r="35">
      <c r="A35" s="2" t="inlineStr">
        <is>
          <t>ソフトウェア実装プロセス群</t>
        </is>
      </c>
      <c r="B35" s="3" t="inlineStr">
        <is>
          <t>ソフトウェア構築</t>
        </is>
      </c>
      <c r="C35" s="4" t="inlineStr">
        <is>
          <t>データベース実装</t>
        </is>
      </c>
      <c r="D35" s="5" t="inlineStr">
        <is>
          <t>2.4.5.3</t>
        </is>
      </c>
      <c r="E35" s="6" t="inlineStr">
        <is>
          <t>Dev-Backend</t>
        </is>
      </c>
      <c r="F35" s="7" t="inlineStr">
        <is>
          <t>DataArchitect</t>
        </is>
      </c>
      <c r="G35" s="5" t="inlineStr">
        <is>
          <t>-</t>
        </is>
      </c>
      <c r="H35" s="5" t="inlineStr">
        <is>
          <t>database-impl</t>
        </is>
      </c>
      <c r="I35" s="5" t="inlineStr">
        <is>
          <t>postgresql-expert</t>
        </is>
      </c>
      <c r="J35" s="5" t="inlineStr">
        <is>
          <t>migration-mgmt</t>
        </is>
      </c>
      <c r="K35" s="5" t="inlineStr">
        <is>
          <t>DDL/DML</t>
        </is>
      </c>
      <c r="L35" s="5" t="inlineStr">
        <is>
          <t>マイグレーション完了</t>
        </is>
      </c>
    </row>
    <row r="36">
      <c r="A36" s="2" t="inlineStr">
        <is>
          <t>ソフトウェア実装プロセス群</t>
        </is>
      </c>
      <c r="B36" s="3" t="inlineStr">
        <is>
          <t>ソフトウェア構築</t>
        </is>
      </c>
      <c r="C36" s="4" t="inlineStr">
        <is>
          <t>API実装</t>
        </is>
      </c>
      <c r="D36" s="5" t="inlineStr">
        <is>
          <t>2.4.5.4</t>
        </is>
      </c>
      <c r="E36" s="6" t="inlineStr">
        <is>
          <t>Dev-Backend</t>
        </is>
      </c>
      <c r="F36" s="7" t="inlineStr">
        <is>
          <t>AppArchitect</t>
        </is>
      </c>
      <c r="G36" s="5" t="inlineStr">
        <is>
          <t>-</t>
        </is>
      </c>
      <c r="H36" s="5" t="inlineStr">
        <is>
          <t>api-implementation</t>
        </is>
      </c>
      <c r="I36" s="5" t="inlineStr">
        <is>
          <t>openapi-spec</t>
        </is>
      </c>
      <c r="J36" s="5" t="inlineStr">
        <is>
          <t>error-handling</t>
        </is>
      </c>
      <c r="K36" s="5" t="inlineStr">
        <is>
          <t>APIコード</t>
        </is>
      </c>
      <c r="L36" s="5" t="inlineStr">
        <is>
          <t>OpenAPI準拠</t>
        </is>
      </c>
    </row>
    <row r="37">
      <c r="A37" s="2" t="inlineStr">
        <is>
          <t>ソフトウェア実装プロセス群</t>
        </is>
      </c>
      <c r="B37" s="3" t="inlineStr">
        <is>
          <t>ソフトウェア構築</t>
        </is>
      </c>
      <c r="C37" s="4" t="inlineStr">
        <is>
          <t>インフラコード実装</t>
        </is>
      </c>
      <c r="D37" s="5" t="inlineStr">
        <is>
          <t>2.4.5.5</t>
        </is>
      </c>
      <c r="E37" s="6" t="inlineStr">
        <is>
          <t>Dev-IaC</t>
        </is>
      </c>
      <c r="F37" s="7" t="inlineStr">
        <is>
          <t>InfraArchitect</t>
        </is>
      </c>
      <c r="G37" s="5" t="inlineStr">
        <is>
          <t>-</t>
        </is>
      </c>
      <c r="H37" s="5" t="inlineStr">
        <is>
          <t>aws-cdk</t>
        </is>
      </c>
      <c r="I37" s="5" t="inlineStr">
        <is>
          <t>terraform</t>
        </is>
      </c>
      <c r="J37" s="5" t="inlineStr">
        <is>
          <t>github-actions</t>
        </is>
      </c>
      <c r="K37" s="5" t="inlineStr">
        <is>
          <t>IaCコード</t>
        </is>
      </c>
      <c r="L37" s="5" t="inlineStr">
        <is>
          <t>Planエラーなし</t>
        </is>
      </c>
    </row>
    <row r="38">
      <c r="A38" s="2" t="inlineStr">
        <is>
          <t>ソフトウェア実装プロセス群</t>
        </is>
      </c>
      <c r="B38" s="3" t="inlineStr">
        <is>
          <t>ソフトウェア構築</t>
        </is>
      </c>
      <c r="C38" s="4" t="inlineStr">
        <is>
          <t>単体テスト実行</t>
        </is>
      </c>
      <c r="D38" s="5" t="inlineStr">
        <is>
          <t>2.4.5.6</t>
        </is>
      </c>
      <c r="E38" s="6" t="inlineStr">
        <is>
          <t>Dev-Backend</t>
        </is>
      </c>
      <c r="F38" s="7" t="inlineStr">
        <is>
          <t>QA-Engineer</t>
        </is>
      </c>
      <c r="G38" s="5" t="inlineStr">
        <is>
          <t>-</t>
        </is>
      </c>
      <c r="H38" s="5" t="inlineStr">
        <is>
          <t>unit-testing</t>
        </is>
      </c>
      <c r="I38" s="5" t="inlineStr">
        <is>
          <t>jest-vitest</t>
        </is>
      </c>
      <c r="J38" s="5" t="inlineStr">
        <is>
          <t>pytest</t>
        </is>
      </c>
      <c r="K38" s="5" t="inlineStr">
        <is>
          <t>単体テスト報告書</t>
        </is>
      </c>
      <c r="L38" s="5" t="inlineStr">
        <is>
          <t>カバレッジ80%以上</t>
        </is>
      </c>
    </row>
    <row r="39">
      <c r="A39" s="2" t="inlineStr">
        <is>
          <t>ソフトウェア実装プロセス群</t>
        </is>
      </c>
      <c r="B39" s="3" t="inlineStr">
        <is>
          <t>ソフトウェア結合</t>
        </is>
      </c>
      <c r="C39" s="4" t="inlineStr">
        <is>
          <t>結合テスト計画</t>
        </is>
      </c>
      <c r="D39" s="5" t="inlineStr">
        <is>
          <t>2.4.6.1</t>
        </is>
      </c>
      <c r="E39" s="6" t="inlineStr">
        <is>
          <t>QA-Lead</t>
        </is>
      </c>
      <c r="F39" s="7" t="inlineStr">
        <is>
          <t>QA-Engineer</t>
        </is>
      </c>
      <c r="G39" s="5" t="inlineStr">
        <is>
          <t>-</t>
        </is>
      </c>
      <c r="H39" s="5" t="inlineStr">
        <is>
          <t>test-planning</t>
        </is>
      </c>
      <c r="I39" s="5" t="inlineStr">
        <is>
          <t>ipa-quality-checklist</t>
        </is>
      </c>
      <c r="J39" s="5" t="inlineStr">
        <is>
          <t>-</t>
        </is>
      </c>
      <c r="K39" s="5" t="inlineStr">
        <is>
          <t>結合テスト計画書</t>
        </is>
      </c>
      <c r="L39" s="5" t="inlineStr">
        <is>
          <t>テスト密度2件/KLOC以上</t>
        </is>
      </c>
    </row>
    <row r="40">
      <c r="A40" s="2" t="inlineStr">
        <is>
          <t>ソフトウェア実装プロセス群</t>
        </is>
      </c>
      <c r="B40" s="3" t="inlineStr">
        <is>
          <t>ソフトウェア結合</t>
        </is>
      </c>
      <c r="C40" s="4" t="inlineStr">
        <is>
          <t>結合テスト仕様書作成</t>
        </is>
      </c>
      <c r="D40" s="5" t="inlineStr">
        <is>
          <t>2.4.6.2</t>
        </is>
      </c>
      <c r="E40" s="6" t="inlineStr">
        <is>
          <t>QA-Engineer</t>
        </is>
      </c>
      <c r="F40" s="7" t="inlineStr">
        <is>
          <t>Dev-Backend</t>
        </is>
      </c>
      <c r="G40" s="5" t="inlineStr">
        <is>
          <t>-</t>
        </is>
      </c>
      <c r="H40" s="5" t="inlineStr">
        <is>
          <t>test-design</t>
        </is>
      </c>
      <c r="I40" s="5" t="inlineStr">
        <is>
          <t>integration-testing</t>
        </is>
      </c>
      <c r="J40" s="5" t="inlineStr">
        <is>
          <t>-</t>
        </is>
      </c>
      <c r="K40" s="5" t="inlineStr">
        <is>
          <t>結合テスト仕様書</t>
        </is>
      </c>
      <c r="L40" s="5" t="inlineStr">
        <is>
          <t>全I/F網羅</t>
        </is>
      </c>
    </row>
    <row r="41">
      <c r="A41" s="2" t="inlineStr">
        <is>
          <t>ソフトウェア実装プロセス群</t>
        </is>
      </c>
      <c r="B41" s="3" t="inlineStr">
        <is>
          <t>ソフトウェア結合</t>
        </is>
      </c>
      <c r="C41" s="4" t="inlineStr">
        <is>
          <t>結合テスト実行</t>
        </is>
      </c>
      <c r="D41" s="5" t="inlineStr">
        <is>
          <t>2.4.6.3</t>
        </is>
      </c>
      <c r="E41" s="6" t="inlineStr">
        <is>
          <t>QA-Engineer</t>
        </is>
      </c>
      <c r="F41" s="7" t="inlineStr">
        <is>
          <t>Dev-Backend</t>
        </is>
      </c>
      <c r="G41" s="7" t="inlineStr">
        <is>
          <t>Dev-Frontend</t>
        </is>
      </c>
      <c r="H41" s="5" t="inlineStr">
        <is>
          <t>test-execution</t>
        </is>
      </c>
      <c r="I41" s="5" t="inlineStr">
        <is>
          <t>playwright-cypress</t>
        </is>
      </c>
      <c r="J41" s="5" t="inlineStr">
        <is>
          <t>api-testing</t>
        </is>
      </c>
      <c r="K41" s="5" t="inlineStr">
        <is>
          <t>結合テスト報告書</t>
        </is>
      </c>
      <c r="L41" s="5" t="inlineStr">
        <is>
          <t>バグ密度3件/KLOC以下</t>
        </is>
      </c>
    </row>
    <row r="42">
      <c r="A42" s="2" t="inlineStr">
        <is>
          <t>ソフトウェア実装プロセス群</t>
        </is>
      </c>
      <c r="B42" s="3" t="inlineStr">
        <is>
          <t>ソフトウェア結合</t>
        </is>
      </c>
      <c r="C42" s="4" t="inlineStr">
        <is>
          <t>不具合修正・確認</t>
        </is>
      </c>
      <c r="D42" s="5" t="inlineStr">
        <is>
          <t>2.4.6.4</t>
        </is>
      </c>
      <c r="E42" s="6" t="inlineStr">
        <is>
          <t>Dev-Backend</t>
        </is>
      </c>
      <c r="F42" s="7" t="inlineStr">
        <is>
          <t>QA-Engineer</t>
        </is>
      </c>
      <c r="G42" s="5" t="inlineStr">
        <is>
          <t>-</t>
        </is>
      </c>
      <c r="H42" s="5" t="inlineStr">
        <is>
          <t>bug-fixing</t>
        </is>
      </c>
      <c r="I42" s="5" t="inlineStr">
        <is>
          <t>debugging</t>
        </is>
      </c>
      <c r="J42" s="5" t="inlineStr">
        <is>
          <t>-</t>
        </is>
      </c>
      <c r="K42" s="5" t="inlineStr">
        <is>
          <t>不具合管理台帳</t>
        </is>
      </c>
      <c r="L42" s="5" t="inlineStr">
        <is>
          <t>重大バグ0件</t>
        </is>
      </c>
    </row>
    <row r="43">
      <c r="A43" s="2" t="inlineStr">
        <is>
          <t>ソフトウェア実装プロセス群</t>
        </is>
      </c>
      <c r="B43" s="3" t="inlineStr">
        <is>
          <t>ソフトウェア適格性確認テスト</t>
        </is>
      </c>
      <c r="C43" s="4" t="inlineStr">
        <is>
          <t>機能テスト</t>
        </is>
      </c>
      <c r="D43" s="5" t="inlineStr">
        <is>
          <t>2.4.7.1</t>
        </is>
      </c>
      <c r="E43" s="6" t="inlineStr">
        <is>
          <t>QA-Engineer</t>
        </is>
      </c>
      <c r="F43" s="7" t="inlineStr">
        <is>
          <t>QA-Automation</t>
        </is>
      </c>
      <c r="G43" s="5" t="inlineStr">
        <is>
          <t>-</t>
        </is>
      </c>
      <c r="H43" s="5" t="inlineStr">
        <is>
          <t>functional-testing</t>
        </is>
      </c>
      <c r="I43" s="5" t="inlineStr">
        <is>
          <t>e2e-testing</t>
        </is>
      </c>
      <c r="J43" s="5" t="inlineStr">
        <is>
          <t>-</t>
        </is>
      </c>
      <c r="K43" s="5" t="inlineStr">
        <is>
          <t>機能テスト報告書</t>
        </is>
      </c>
      <c r="L43" s="5" t="inlineStr">
        <is>
          <t>全機能網羅</t>
        </is>
      </c>
    </row>
    <row r="44">
      <c r="A44" s="2" t="inlineStr">
        <is>
          <t>ソフトウェア実装プロセス群</t>
        </is>
      </c>
      <c r="B44" s="3" t="inlineStr">
        <is>
          <t>ソフトウェア適格性確認テスト</t>
        </is>
      </c>
      <c r="C44" s="4" t="inlineStr">
        <is>
          <t>性能テスト</t>
        </is>
      </c>
      <c r="D44" s="5" t="inlineStr">
        <is>
          <t>2.4.7.2</t>
        </is>
      </c>
      <c r="E44" s="6" t="inlineStr">
        <is>
          <t>QA-Performance</t>
        </is>
      </c>
      <c r="F44" s="7" t="inlineStr">
        <is>
          <t>InfraArchitect</t>
        </is>
      </c>
      <c r="G44" s="5" t="inlineStr">
        <is>
          <t>-</t>
        </is>
      </c>
      <c r="H44" s="5" t="inlineStr">
        <is>
          <t>performance-testing</t>
        </is>
      </c>
      <c r="I44" s="5" t="inlineStr">
        <is>
          <t>k6-gatling</t>
        </is>
      </c>
      <c r="J44" s="5" t="inlineStr">
        <is>
          <t>aws-infrastructure</t>
        </is>
      </c>
      <c r="K44" s="5" t="inlineStr">
        <is>
          <t>性能テスト報告書</t>
        </is>
      </c>
      <c r="L44" s="5" t="inlineStr">
        <is>
          <t>目標値達成</t>
        </is>
      </c>
    </row>
    <row r="45">
      <c r="A45" s="2" t="inlineStr">
        <is>
          <t>ソフトウェア実装プロセス群</t>
        </is>
      </c>
      <c r="B45" s="3" t="inlineStr">
        <is>
          <t>ソフトウェア適格性確認テスト</t>
        </is>
      </c>
      <c r="C45" s="4" t="inlineStr">
        <is>
          <t>セキュリティテスト</t>
        </is>
      </c>
      <c r="D45" s="5" t="inlineStr">
        <is>
          <t>2.4.7.3</t>
        </is>
      </c>
      <c r="E45" s="6" t="inlineStr">
        <is>
          <t>QA-Security</t>
        </is>
      </c>
      <c r="F45" s="7" t="inlineStr">
        <is>
          <t>SecurityArchitect</t>
        </is>
      </c>
      <c r="G45" s="5" t="inlineStr">
        <is>
          <t>-</t>
        </is>
      </c>
      <c r="H45" s="5" t="inlineStr">
        <is>
          <t>security-testing</t>
        </is>
      </c>
      <c r="I45" s="5" t="inlineStr">
        <is>
          <t>owasp-testing</t>
        </is>
      </c>
      <c r="J45" s="5" t="inlineStr">
        <is>
          <t>penetration-test</t>
        </is>
      </c>
      <c r="K45" s="5" t="inlineStr">
        <is>
          <t>脆弱性診断報告書</t>
        </is>
      </c>
      <c r="L45" s="5" t="inlineStr">
        <is>
          <t>高リスク脆弱性0件</t>
        </is>
      </c>
    </row>
    <row r="46">
      <c r="A46" s="2" t="inlineStr">
        <is>
          <t>ソフトウェア実装プロセス群</t>
        </is>
      </c>
      <c r="B46" s="3" t="inlineStr">
        <is>
          <t>ソフトウェア適格性確認テスト</t>
        </is>
      </c>
      <c r="C46" s="4" t="inlineStr">
        <is>
          <t>回帰テスト</t>
        </is>
      </c>
      <c r="D46" s="5" t="inlineStr">
        <is>
          <t>2.4.7.4</t>
        </is>
      </c>
      <c r="E46" s="6" t="inlineStr">
        <is>
          <t>QA-Automation</t>
        </is>
      </c>
      <c r="F46" s="7" t="inlineStr">
        <is>
          <t>QA-Engineer</t>
        </is>
      </c>
      <c r="G46" s="5" t="inlineStr">
        <is>
          <t>-</t>
        </is>
      </c>
      <c r="H46" s="5" t="inlineStr">
        <is>
          <t>regression-testing</t>
        </is>
      </c>
      <c r="I46" s="5" t="inlineStr">
        <is>
          <t>test-automation</t>
        </is>
      </c>
      <c r="J46" s="5" t="inlineStr">
        <is>
          <t>-</t>
        </is>
      </c>
      <c r="K46" s="5" t="inlineStr">
        <is>
          <t>回帰テスト報告書</t>
        </is>
      </c>
      <c r="L46" s="5" t="inlineStr">
        <is>
          <t>既存機能影響なし</t>
        </is>
      </c>
    </row>
    <row r="47">
      <c r="A47" s="2" t="inlineStr">
        <is>
          <t>システム開発プロセス群</t>
        </is>
      </c>
      <c r="B47" s="3" t="inlineStr">
        <is>
          <t>システム結合</t>
        </is>
      </c>
      <c r="C47" s="4" t="inlineStr">
        <is>
          <t>システム結合テスト</t>
        </is>
      </c>
      <c r="D47" s="5" t="inlineStr">
        <is>
          <t>2.3.5.1</t>
        </is>
      </c>
      <c r="E47" s="6" t="inlineStr">
        <is>
          <t>QA-Lead</t>
        </is>
      </c>
      <c r="F47" s="7" t="inlineStr">
        <is>
          <t>InfraArchitect</t>
        </is>
      </c>
      <c r="G47" s="7" t="inlineStr">
        <is>
          <t>AppArchitect</t>
        </is>
      </c>
      <c r="H47" s="5" t="inlineStr">
        <is>
          <t>system-integration</t>
        </is>
      </c>
      <c r="I47" s="5" t="inlineStr">
        <is>
          <t>e2e-testing</t>
        </is>
      </c>
      <c r="J47" s="5" t="inlineStr">
        <is>
          <t>-</t>
        </is>
      </c>
      <c r="K47" s="5" t="inlineStr">
        <is>
          <t>システム結合テスト報告書</t>
        </is>
      </c>
      <c r="L47" s="5" t="inlineStr">
        <is>
          <t>外部連携確認完了</t>
        </is>
      </c>
    </row>
    <row r="48">
      <c r="A48" s="2" t="inlineStr">
        <is>
          <t>システム開発プロセス群</t>
        </is>
      </c>
      <c r="B48" s="3" t="inlineStr">
        <is>
          <t>システム適格性確認テスト</t>
        </is>
      </c>
      <c r="C48" s="4" t="inlineStr">
        <is>
          <t>本番環境検証</t>
        </is>
      </c>
      <c r="D48" s="5" t="inlineStr">
        <is>
          <t>2.3.6.1</t>
        </is>
      </c>
      <c r="E48" s="6" t="inlineStr">
        <is>
          <t>QA-Lead</t>
        </is>
      </c>
      <c r="F48" s="7" t="inlineStr">
        <is>
          <t>InfraArchitect</t>
        </is>
      </c>
      <c r="G48" s="5" t="inlineStr">
        <is>
          <t>-</t>
        </is>
      </c>
      <c r="H48" s="5" t="inlineStr">
        <is>
          <t>production-validation</t>
        </is>
      </c>
      <c r="I48" s="5" t="inlineStr">
        <is>
          <t>aws-infrastructure</t>
        </is>
      </c>
      <c r="J48" s="5" t="inlineStr">
        <is>
          <t>monitoring</t>
        </is>
      </c>
      <c r="K48" s="5" t="inlineStr">
        <is>
          <t>システムテスト報告書</t>
        </is>
      </c>
      <c r="L48" s="5" t="inlineStr">
        <is>
          <t>非機能要件全達成</t>
        </is>
      </c>
    </row>
    <row r="49">
      <c r="A49" s="2" t="inlineStr">
        <is>
          <t>運用・保守プロセス群</t>
        </is>
      </c>
      <c r="B49" s="3" t="inlineStr">
        <is>
          <t>導入支援</t>
        </is>
      </c>
      <c r="C49" s="4" t="inlineStr">
        <is>
          <t>導入計画策定</t>
        </is>
      </c>
      <c r="D49" s="5" t="inlineStr">
        <is>
          <t>2.5.1.1</t>
        </is>
      </c>
      <c r="E49" s="6" t="inlineStr">
        <is>
          <t>PM</t>
        </is>
      </c>
      <c r="F49" s="7" t="inlineStr">
        <is>
          <t>InfraArchitect</t>
        </is>
      </c>
      <c r="G49" s="5" t="inlineStr">
        <is>
          <t>-</t>
        </is>
      </c>
      <c r="H49" s="5" t="inlineStr">
        <is>
          <t>deployment-planning</t>
        </is>
      </c>
      <c r="I49" s="5" t="inlineStr">
        <is>
          <t>release-mgmt</t>
        </is>
      </c>
      <c r="J49" s="5" t="inlineStr">
        <is>
          <t>-</t>
        </is>
      </c>
      <c r="K49" s="5" t="inlineStr">
        <is>
          <t>導入計画書</t>
        </is>
      </c>
      <c r="L49" s="5" t="inlineStr">
        <is>
          <t>カットオーバー判定</t>
        </is>
      </c>
    </row>
    <row r="50">
      <c r="A50" s="2" t="inlineStr">
        <is>
          <t>運用・保守プロセス群</t>
        </is>
      </c>
      <c r="B50" s="3" t="inlineStr">
        <is>
          <t>導入支援</t>
        </is>
      </c>
      <c r="C50" s="4" t="inlineStr">
        <is>
          <t>本番環境構築</t>
        </is>
      </c>
      <c r="D50" s="5" t="inlineStr">
        <is>
          <t>2.5.1.2</t>
        </is>
      </c>
      <c r="E50" s="6" t="inlineStr">
        <is>
          <t>Dev-IaC</t>
        </is>
      </c>
      <c r="F50" s="7" t="inlineStr">
        <is>
          <t>InfraArchitect</t>
        </is>
      </c>
      <c r="G50" s="5" t="inlineStr">
        <is>
          <t>-</t>
        </is>
      </c>
      <c r="H50" s="5" t="inlineStr">
        <is>
          <t>aws-cdk</t>
        </is>
      </c>
      <c r="I50" s="5" t="inlineStr">
        <is>
          <t>terraform</t>
        </is>
      </c>
      <c r="J50" s="5" t="inlineStr">
        <is>
          <t>aws-infrastructure</t>
        </is>
      </c>
      <c r="K50" s="5" t="inlineStr">
        <is>
          <t>環境構築報告書</t>
        </is>
      </c>
      <c r="L50" s="5" t="inlineStr">
        <is>
          <t>本番環境稼働確認</t>
        </is>
      </c>
    </row>
    <row r="51">
      <c r="A51" s="2" t="inlineStr">
        <is>
          <t>運用・保守プロセス群</t>
        </is>
      </c>
      <c r="B51" s="3" t="inlineStr">
        <is>
          <t>導入支援</t>
        </is>
      </c>
      <c r="C51" s="4" t="inlineStr">
        <is>
          <t>データ移行</t>
        </is>
      </c>
      <c r="D51" s="5" t="inlineStr">
        <is>
          <t>2.5.1.3</t>
        </is>
      </c>
      <c r="E51" s="6" t="inlineStr">
        <is>
          <t>DataArchitect</t>
        </is>
      </c>
      <c r="F51" s="7" t="inlineStr">
        <is>
          <t>Dev-Backend</t>
        </is>
      </c>
      <c r="G51" s="5" t="inlineStr">
        <is>
          <t>-</t>
        </is>
      </c>
      <c r="H51" s="5" t="inlineStr">
        <is>
          <t>data-migration</t>
        </is>
      </c>
      <c r="I51" s="5" t="inlineStr">
        <is>
          <t>etl-processing</t>
        </is>
      </c>
      <c r="J51" s="5" t="inlineStr">
        <is>
          <t>-</t>
        </is>
      </c>
      <c r="K51" s="5" t="inlineStr">
        <is>
          <t>データ移行報告書</t>
        </is>
      </c>
      <c r="L51" s="5" t="inlineStr">
        <is>
          <t>データ整合性確認</t>
        </is>
      </c>
    </row>
    <row r="52">
      <c r="A52" s="2" t="inlineStr">
        <is>
          <t>運用・保守プロセス群</t>
        </is>
      </c>
      <c r="B52" s="3" t="inlineStr">
        <is>
          <t>運用</t>
        </is>
      </c>
      <c r="C52" s="4" t="inlineStr">
        <is>
          <t>監視設定</t>
        </is>
      </c>
      <c r="D52" s="5" t="inlineStr">
        <is>
          <t>2.5.2.1</t>
        </is>
      </c>
      <c r="E52" s="6" t="inlineStr">
        <is>
          <t>InfraArchitect</t>
        </is>
      </c>
      <c r="F52" s="7" t="inlineStr">
        <is>
          <t>Dev-IaC</t>
        </is>
      </c>
      <c r="G52" s="5" t="inlineStr">
        <is>
          <t>-</t>
        </is>
      </c>
      <c r="H52" s="5" t="inlineStr">
        <is>
          <t>monitoring</t>
        </is>
      </c>
      <c r="I52" s="5" t="inlineStr">
        <is>
          <t>cloudwatch-expert</t>
        </is>
      </c>
      <c r="J52" s="5" t="inlineStr">
        <is>
          <t>alerting</t>
        </is>
      </c>
      <c r="K52" s="5" t="inlineStr">
        <is>
          <t>監視設定書</t>
        </is>
      </c>
      <c r="L52" s="5" t="inlineStr">
        <is>
          <t>アラート動作確認</t>
        </is>
      </c>
    </row>
    <row r="53">
      <c r="A53" s="2" t="inlineStr">
        <is>
          <t>運用・保守プロセス群</t>
        </is>
      </c>
      <c r="B53" s="3" t="inlineStr">
        <is>
          <t>運用</t>
        </is>
      </c>
      <c r="C53" s="4" t="inlineStr">
        <is>
          <t>運用手順書作成</t>
        </is>
      </c>
      <c r="D53" s="5" t="inlineStr">
        <is>
          <t>2.5.2.2</t>
        </is>
      </c>
      <c r="E53" s="6" t="inlineStr">
        <is>
          <t>InfraArchitect</t>
        </is>
      </c>
      <c r="F53" s="7" t="inlineStr">
        <is>
          <t>PM</t>
        </is>
      </c>
      <c r="G53" s="5" t="inlineStr">
        <is>
          <t>-</t>
        </is>
      </c>
      <c r="H53" s="5" t="inlineStr">
        <is>
          <t>documentation</t>
        </is>
      </c>
      <c r="I53" s="5" t="inlineStr">
        <is>
          <t>runbook</t>
        </is>
      </c>
      <c r="J53" s="5" t="inlineStr">
        <is>
          <t>-</t>
        </is>
      </c>
      <c r="K53" s="5" t="inlineStr">
        <is>
          <t>運用手順書</t>
        </is>
      </c>
      <c r="L53" s="5" t="inlineStr">
        <is>
          <t>オペレータレビュー完了</t>
        </is>
      </c>
    </row>
    <row r="54">
      <c r="A54" s="2" t="inlineStr">
        <is>
          <t>運用・保守プロセス群</t>
        </is>
      </c>
      <c r="B54" s="3" t="inlineStr">
        <is>
          <t>保守</t>
        </is>
      </c>
      <c r="C54" s="4" t="inlineStr">
        <is>
          <t>障害対応手順策定</t>
        </is>
      </c>
      <c r="D54" s="5" t="inlineStr">
        <is>
          <t>2.5.3.1</t>
        </is>
      </c>
      <c r="E54" s="6" t="inlineStr">
        <is>
          <t>InfraArchitect</t>
        </is>
      </c>
      <c r="F54" s="7" t="inlineStr">
        <is>
          <t>Dev-Backend</t>
        </is>
      </c>
      <c r="G54" s="5" t="inlineStr">
        <is>
          <t>-</t>
        </is>
      </c>
      <c r="H54" s="5" t="inlineStr">
        <is>
          <t>incident-mgmt</t>
        </is>
      </c>
      <c r="I54" s="5" t="inlineStr">
        <is>
          <t>troubleshooting</t>
        </is>
      </c>
      <c r="J54" s="5" t="inlineStr">
        <is>
          <t>-</t>
        </is>
      </c>
      <c r="K54" s="5" t="inlineStr">
        <is>
          <t>障害対応手順書</t>
        </is>
      </c>
      <c r="L54" s="5" t="inlineStr">
        <is>
          <t>机上演習完了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5" customWidth="1" min="4" max="4"/>
    <col width="25" customWidth="1" min="5" max="5"/>
    <col width="40" customWidth="1" min="6" max="6"/>
    <col width="25" customWidth="1" min="7" max="7"/>
    <col width="10" customWidth="1" min="8" max="8"/>
  </cols>
  <sheetData>
    <row r="1">
      <c r="A1" s="8" t="inlineStr">
        <is>
          <t>カテゴリ</t>
        </is>
      </c>
      <c r="B1" s="8" t="inlineStr">
        <is>
          <t>Agent_ID</t>
        </is>
      </c>
      <c r="C1" s="8" t="inlineStr">
        <is>
          <t>Agent名</t>
        </is>
      </c>
      <c r="D1" s="8" t="inlineStr">
        <is>
          <t>専門領域</t>
        </is>
      </c>
      <c r="E1" s="8" t="inlineStr">
        <is>
          <t>対応言語/FW</t>
        </is>
      </c>
      <c r="F1" s="8" t="inlineStr">
        <is>
          <t>必須Skills</t>
        </is>
      </c>
      <c r="G1" s="8" t="inlineStr">
        <is>
          <t>召喚トリガー</t>
        </is>
      </c>
      <c r="H1" s="8" t="inlineStr">
        <is>
          <t>モデル推奨</t>
        </is>
      </c>
    </row>
    <row r="2">
      <c r="A2" s="3" t="inlineStr">
        <is>
          <t>Management</t>
        </is>
      </c>
      <c r="B2" s="5" t="inlineStr">
        <is>
          <t>PM</t>
        </is>
      </c>
      <c r="C2" s="5" t="inlineStr">
        <is>
          <t>プロジェクトマネージャー</t>
        </is>
      </c>
      <c r="D2" s="5" t="inlineStr">
        <is>
          <t>全体統括・タスク委任</t>
        </is>
      </c>
      <c r="E2" s="5" t="inlineStr">
        <is>
          <t>-</t>
        </is>
      </c>
      <c r="F2" s="5" t="inlineStr">
        <is>
          <t>project-mgmt, stakeholder-mgmt</t>
        </is>
      </c>
      <c r="G2" s="5" t="inlineStr">
        <is>
          <t>常時メイン会話</t>
        </is>
      </c>
      <c r="H2" s="5" t="inlineStr">
        <is>
          <t>opus</t>
        </is>
      </c>
    </row>
    <row r="3">
      <c r="A3" s="3" t="inlineStr">
        <is>
          <t>Management</t>
        </is>
      </c>
      <c r="B3" s="5" t="inlineStr">
        <is>
          <t>BizAnalyst</t>
        </is>
      </c>
      <c r="C3" s="5" t="inlineStr">
        <is>
          <t>ビジネスアナリスト</t>
        </is>
      </c>
      <c r="D3" s="5" t="inlineStr">
        <is>
          <t>業務分析・要件引出</t>
        </is>
      </c>
      <c r="E3" s="5" t="inlineStr">
        <is>
          <t>-</t>
        </is>
      </c>
      <c r="F3" s="5" t="inlineStr">
        <is>
          <t>business-analysis, requirements-elicitation</t>
        </is>
      </c>
      <c r="G3" s="5" t="inlineStr">
        <is>
          <t>業務要件議論時</t>
        </is>
      </c>
      <c r="H3" s="5" t="inlineStr">
        <is>
          <t>sonnet</t>
        </is>
      </c>
    </row>
    <row r="4">
      <c r="A4" s="9" t="inlineStr">
        <is>
          <t>Architect</t>
        </is>
      </c>
      <c r="B4" s="5" t="inlineStr">
        <is>
          <t>AppArchitect</t>
        </is>
      </c>
      <c r="C4" s="5" t="inlineStr">
        <is>
          <t>アプリケーションアーキテクト</t>
        </is>
      </c>
      <c r="D4" s="5" t="inlineStr">
        <is>
          <t>SW設計・アーキテクチャ</t>
        </is>
      </c>
      <c r="E4" s="5" t="inlineStr">
        <is>
          <t>-</t>
        </is>
      </c>
      <c r="F4" s="5" t="inlineStr">
        <is>
          <t>software-architecture, design-patterns, clean-architecture</t>
        </is>
      </c>
      <c r="G4" s="5" t="inlineStr">
        <is>
          <t>設計フェーズ開始</t>
        </is>
      </c>
      <c r="H4" s="5" t="inlineStr">
        <is>
          <t>sonnet</t>
        </is>
      </c>
    </row>
    <row r="5">
      <c r="A5" s="9" t="inlineStr">
        <is>
          <t>Architect</t>
        </is>
      </c>
      <c r="B5" s="5" t="inlineStr">
        <is>
          <t>InfraArchitect</t>
        </is>
      </c>
      <c r="C5" s="5" t="inlineStr">
        <is>
          <t>インフラアーキテクト</t>
        </is>
      </c>
      <c r="D5" s="5" t="inlineStr">
        <is>
          <t>クラウド・インフラ設計</t>
        </is>
      </c>
      <c r="E5" s="5" t="inlineStr">
        <is>
          <t>AWS, GCP, Azure</t>
        </is>
      </c>
      <c r="F5" s="5" t="inlineStr">
        <is>
          <t>aws-infrastructure, network-design, capacity-planning</t>
        </is>
      </c>
      <c r="G5" s="5" t="inlineStr">
        <is>
          <t>インフラ設計・構築時</t>
        </is>
      </c>
      <c r="H5" s="5" t="inlineStr">
        <is>
          <t>sonnet</t>
        </is>
      </c>
    </row>
    <row r="6">
      <c r="A6" s="9" t="inlineStr">
        <is>
          <t>Architect</t>
        </is>
      </c>
      <c r="B6" s="5" t="inlineStr">
        <is>
          <t>DataArchitect</t>
        </is>
      </c>
      <c r="C6" s="5" t="inlineStr">
        <is>
          <t>データアーキテクト</t>
        </is>
      </c>
      <c r="D6" s="5" t="inlineStr">
        <is>
          <t>DB設計・データモデリング</t>
        </is>
      </c>
      <c r="E6" s="5" t="inlineStr">
        <is>
          <t>PostgreSQL, MySQL</t>
        </is>
      </c>
      <c r="F6" s="5" t="inlineStr">
        <is>
          <t>database-design, data-modeling, postgresql-expert</t>
        </is>
      </c>
      <c r="G6" s="5" t="inlineStr">
        <is>
          <t>DB設計時</t>
        </is>
      </c>
      <c r="H6" s="5" t="inlineStr">
        <is>
          <t>sonnet</t>
        </is>
      </c>
    </row>
    <row r="7">
      <c r="A7" s="9" t="inlineStr">
        <is>
          <t>Architect</t>
        </is>
      </c>
      <c r="B7" s="5" t="inlineStr">
        <is>
          <t>SecurityArchitect</t>
        </is>
      </c>
      <c r="C7" s="5" t="inlineStr">
        <is>
          <t>セキュリティアーキテクト</t>
        </is>
      </c>
      <c r="D7" s="5" t="inlineStr">
        <is>
          <t>セキュリティ設計・監査</t>
        </is>
      </c>
      <c r="E7" s="5" t="inlineStr">
        <is>
          <t>-</t>
        </is>
      </c>
      <c r="F7" s="5" t="inlineStr">
        <is>
          <t>security-design, aws-security, compliance</t>
        </is>
      </c>
      <c r="G7" s="5" t="inlineStr">
        <is>
          <t>セキュリティ要件時</t>
        </is>
      </c>
      <c r="H7" s="5" t="inlineStr">
        <is>
          <t>sonnet</t>
        </is>
      </c>
    </row>
    <row r="8">
      <c r="A8" s="9" t="inlineStr">
        <is>
          <t>Architect</t>
        </is>
      </c>
      <c r="B8" s="5" t="inlineStr">
        <is>
          <t>UXDesigner</t>
        </is>
      </c>
      <c r="C8" s="5" t="inlineStr">
        <is>
          <t>UXデザイナー</t>
        </is>
      </c>
      <c r="D8" s="5" t="inlineStr">
        <is>
          <t>UI/UX設計</t>
        </is>
      </c>
      <c r="E8" s="5" t="inlineStr">
        <is>
          <t>Figma</t>
        </is>
      </c>
      <c r="F8" s="5" t="inlineStr">
        <is>
          <t>ui-design, accessibility, user-research</t>
        </is>
      </c>
      <c r="G8" s="5" t="inlineStr">
        <is>
          <t>画面設計時</t>
        </is>
      </c>
      <c r="H8" s="5" t="inlineStr">
        <is>
          <t>sonnet</t>
        </is>
      </c>
    </row>
    <row r="9">
      <c r="A9" s="4" t="inlineStr">
        <is>
          <t>Developer</t>
        </is>
      </c>
      <c r="B9" s="5" t="inlineStr">
        <is>
          <t>Dev-TypeScript</t>
        </is>
      </c>
      <c r="C9" s="5" t="inlineStr">
        <is>
          <t>TypeScript開発者</t>
        </is>
      </c>
      <c r="D9" s="5" t="inlineStr">
        <is>
          <t>TS/JS全般</t>
        </is>
      </c>
      <c r="E9" s="5" t="inlineStr">
        <is>
          <t>TypeScript, Node.js</t>
        </is>
      </c>
      <c r="F9" s="5" t="inlineStr">
        <is>
          <t>typescript-expert, coding-standards</t>
        </is>
      </c>
      <c r="G9" s="5" t="inlineStr">
        <is>
          <t>TS実装時</t>
        </is>
      </c>
      <c r="H9" s="5" t="inlineStr">
        <is>
          <t>sonnet</t>
        </is>
      </c>
    </row>
    <row r="10">
      <c r="A10" s="4" t="inlineStr">
        <is>
          <t>Developer</t>
        </is>
      </c>
      <c r="B10" s="5" t="inlineStr">
        <is>
          <t>Dev-Python</t>
        </is>
      </c>
      <c r="C10" s="5" t="inlineStr">
        <is>
          <t>Python開発者</t>
        </is>
      </c>
      <c r="D10" s="5" t="inlineStr">
        <is>
          <t>Python全般</t>
        </is>
      </c>
      <c r="E10" s="5" t="inlineStr">
        <is>
          <t>Python 3.11+</t>
        </is>
      </c>
      <c r="F10" s="5" t="inlineStr">
        <is>
          <t>python-expert, coding-standards</t>
        </is>
      </c>
      <c r="G10" s="5" t="inlineStr">
        <is>
          <t>Python実装時</t>
        </is>
      </c>
      <c r="H10" s="5" t="inlineStr">
        <is>
          <t>sonnet</t>
        </is>
      </c>
    </row>
    <row r="11">
      <c r="A11" s="4" t="inlineStr">
        <is>
          <t>Developer</t>
        </is>
      </c>
      <c r="B11" s="5" t="inlineStr">
        <is>
          <t>Dev-Go</t>
        </is>
      </c>
      <c r="C11" s="5" t="inlineStr">
        <is>
          <t>Go開発者</t>
        </is>
      </c>
      <c r="D11" s="5" t="inlineStr">
        <is>
          <t>Go言語</t>
        </is>
      </c>
      <c r="E11" s="5" t="inlineStr">
        <is>
          <t>Go 1.21+</t>
        </is>
      </c>
      <c r="F11" s="5" t="inlineStr">
        <is>
          <t>golang-expert, coding-standards</t>
        </is>
      </c>
      <c r="G11" s="5" t="inlineStr">
        <is>
          <t>Go実装時</t>
        </is>
      </c>
      <c r="H11" s="5" t="inlineStr">
        <is>
          <t>sonnet</t>
        </is>
      </c>
    </row>
    <row r="12">
      <c r="A12" s="4" t="inlineStr">
        <is>
          <t>Developer</t>
        </is>
      </c>
      <c r="B12" s="5" t="inlineStr">
        <is>
          <t>Dev-Rust</t>
        </is>
      </c>
      <c r="C12" s="5" t="inlineStr">
        <is>
          <t>Rust開発者</t>
        </is>
      </c>
      <c r="D12" s="5" t="inlineStr">
        <is>
          <t>Rust言語</t>
        </is>
      </c>
      <c r="E12" s="5" t="inlineStr">
        <is>
          <t>Rust</t>
        </is>
      </c>
      <c r="F12" s="5" t="inlineStr">
        <is>
          <t>rust-expert, coding-standards</t>
        </is>
      </c>
      <c r="G12" s="5" t="inlineStr">
        <is>
          <t>Rust実装時</t>
        </is>
      </c>
      <c r="H12" s="5" t="inlineStr">
        <is>
          <t>sonnet</t>
        </is>
      </c>
    </row>
    <row r="13">
      <c r="A13" s="4" t="inlineStr">
        <is>
          <t>Developer</t>
        </is>
      </c>
      <c r="B13" s="5" t="inlineStr">
        <is>
          <t>Dev-Java</t>
        </is>
      </c>
      <c r="C13" s="5" t="inlineStr">
        <is>
          <t>Java開発者</t>
        </is>
      </c>
      <c r="D13" s="5" t="inlineStr">
        <is>
          <t>Java/Kotlin</t>
        </is>
      </c>
      <c r="E13" s="5" t="inlineStr">
        <is>
          <t>Java 21+, Kotlin</t>
        </is>
      </c>
      <c r="F13" s="5" t="inlineStr">
        <is>
          <t>java-expert, coding-standards</t>
        </is>
      </c>
      <c r="G13" s="5" t="inlineStr">
        <is>
          <t>Java実装時</t>
        </is>
      </c>
      <c r="H13" s="5" t="inlineStr">
        <is>
          <t>sonnet</t>
        </is>
      </c>
    </row>
    <row r="14">
      <c r="A14" s="4" t="inlineStr">
        <is>
          <t>Developer-FW</t>
        </is>
      </c>
      <c r="B14" s="5" t="inlineStr">
        <is>
          <t>Dev-React</t>
        </is>
      </c>
      <c r="C14" s="5" t="inlineStr">
        <is>
          <t>React開発者</t>
        </is>
      </c>
      <c r="D14" s="5" t="inlineStr">
        <is>
          <t>Reactエコシステム</t>
        </is>
      </c>
      <c r="E14" s="5" t="inlineStr">
        <is>
          <t>React 18+, Redux</t>
        </is>
      </c>
      <c r="F14" s="5" t="inlineStr">
        <is>
          <t>react-nextjs, typescript-expert</t>
        </is>
      </c>
      <c r="G14" s="5" t="inlineStr">
        <is>
          <t>Reactコンポーネント実装時</t>
        </is>
      </c>
      <c r="H14" s="5" t="inlineStr">
        <is>
          <t>sonnet</t>
        </is>
      </c>
    </row>
    <row r="15">
      <c r="A15" s="4" t="inlineStr">
        <is>
          <t>Developer-FW</t>
        </is>
      </c>
      <c r="B15" s="5" t="inlineStr">
        <is>
          <t>Dev-NextJS</t>
        </is>
      </c>
      <c r="C15" s="5" t="inlineStr">
        <is>
          <t>Next.js開発者</t>
        </is>
      </c>
      <c r="D15" s="5" t="inlineStr">
        <is>
          <t>Next.js SSR/ISR</t>
        </is>
      </c>
      <c r="E15" s="5" t="inlineStr">
        <is>
          <t>Next.js 14+, App Router</t>
        </is>
      </c>
      <c r="F15" s="5" t="inlineStr">
        <is>
          <t>react-nextjs, typescript-expert</t>
        </is>
      </c>
      <c r="G15" s="5" t="inlineStr">
        <is>
          <t>Next.js実装時</t>
        </is>
      </c>
      <c r="H15" s="5" t="inlineStr">
        <is>
          <t>sonnet</t>
        </is>
      </c>
    </row>
    <row r="16">
      <c r="A16" s="4" t="inlineStr">
        <is>
          <t>Developer-FW</t>
        </is>
      </c>
      <c r="B16" s="5" t="inlineStr">
        <is>
          <t>Dev-NestJS</t>
        </is>
      </c>
      <c r="C16" s="5" t="inlineStr">
        <is>
          <t>NestJS開発者</t>
        </is>
      </c>
      <c r="D16" s="5" t="inlineStr">
        <is>
          <t>NestJSバックエンド</t>
        </is>
      </c>
      <c r="E16" s="5" t="inlineStr">
        <is>
          <t>NestJS, TypeORM</t>
        </is>
      </c>
      <c r="F16" s="5" t="inlineStr">
        <is>
          <t>nestjs-expert, typescript-expert, api-design</t>
        </is>
      </c>
      <c r="G16" s="5" t="inlineStr">
        <is>
          <t>NestJS実装時</t>
        </is>
      </c>
      <c r="H16" s="5" t="inlineStr">
        <is>
          <t>sonnet</t>
        </is>
      </c>
    </row>
    <row r="17">
      <c r="A17" s="4" t="inlineStr">
        <is>
          <t>Developer-FW</t>
        </is>
      </c>
      <c r="B17" s="5" t="inlineStr">
        <is>
          <t>Dev-FastAPI</t>
        </is>
      </c>
      <c r="C17" s="5" t="inlineStr">
        <is>
          <t>FastAPI開発者</t>
        </is>
      </c>
      <c r="D17" s="5" t="inlineStr">
        <is>
          <t>FastAPIバックエンド</t>
        </is>
      </c>
      <c r="E17" s="5" t="inlineStr">
        <is>
          <t>FastAPI, SQLAlchemy</t>
        </is>
      </c>
      <c r="F17" s="5" t="inlineStr">
        <is>
          <t>fastapi-expert, python-expert, api-design</t>
        </is>
      </c>
      <c r="G17" s="5" t="inlineStr">
        <is>
          <t>FastAPI実装時</t>
        </is>
      </c>
      <c r="H17" s="5" t="inlineStr">
        <is>
          <t>sonnet</t>
        </is>
      </c>
    </row>
    <row r="18">
      <c r="A18" s="4" t="inlineStr">
        <is>
          <t>Developer-FW</t>
        </is>
      </c>
      <c r="B18" s="5" t="inlineStr">
        <is>
          <t>Dev-Django</t>
        </is>
      </c>
      <c r="C18" s="5" t="inlineStr">
        <is>
          <t>Django開発者</t>
        </is>
      </c>
      <c r="D18" s="5" t="inlineStr">
        <is>
          <t>Djangoフルスタック</t>
        </is>
      </c>
      <c r="E18" s="5" t="inlineStr">
        <is>
          <t>Django 5+, DRF</t>
        </is>
      </c>
      <c r="F18" s="5" t="inlineStr">
        <is>
          <t>django-expert, python-expert</t>
        </is>
      </c>
      <c r="G18" s="5" t="inlineStr">
        <is>
          <t>Django実装時</t>
        </is>
      </c>
      <c r="H18" s="5" t="inlineStr">
        <is>
          <t>sonnet</t>
        </is>
      </c>
    </row>
    <row r="19">
      <c r="A19" s="4" t="inlineStr">
        <is>
          <t>Developer-Infra</t>
        </is>
      </c>
      <c r="B19" s="5" t="inlineStr">
        <is>
          <t>Dev-IaC</t>
        </is>
      </c>
      <c r="C19" s="5" t="inlineStr">
        <is>
          <t>IaCエンジニア</t>
        </is>
      </c>
      <c r="D19" s="5" t="inlineStr">
        <is>
          <t>Infrastructure as Code</t>
        </is>
      </c>
      <c r="E19" s="5" t="inlineStr">
        <is>
          <t>CDK, Terraform</t>
        </is>
      </c>
      <c r="F19" s="5" t="inlineStr">
        <is>
          <t>aws-cdk, terraform, github-actions</t>
        </is>
      </c>
      <c r="G19" s="5" t="inlineStr">
        <is>
          <t>IaC作成時</t>
        </is>
      </c>
      <c r="H19" s="5" t="inlineStr">
        <is>
          <t>sonnet</t>
        </is>
      </c>
    </row>
    <row r="20">
      <c r="A20" s="4" t="inlineStr">
        <is>
          <t>Developer-Infra</t>
        </is>
      </c>
      <c r="B20" s="5" t="inlineStr">
        <is>
          <t>Dev-Container</t>
        </is>
      </c>
      <c r="C20" s="5" t="inlineStr">
        <is>
          <t>コンテナエンジニア</t>
        </is>
      </c>
      <c r="D20" s="5" t="inlineStr">
        <is>
          <t>コンテナ・K8s</t>
        </is>
      </c>
      <c r="E20" s="5" t="inlineStr">
        <is>
          <t>Docker, ECS, EKS</t>
        </is>
      </c>
      <c r="F20" s="5" t="inlineStr">
        <is>
          <t>container-design, kubernetes, docker</t>
        </is>
      </c>
      <c r="G20" s="5" t="inlineStr">
        <is>
          <t>コンテナ化時</t>
        </is>
      </c>
      <c r="H20" s="5" t="inlineStr">
        <is>
          <t>sonnet</t>
        </is>
      </c>
    </row>
    <row r="21">
      <c r="A21" s="4" t="inlineStr">
        <is>
          <t>Developer</t>
        </is>
      </c>
      <c r="B21" s="5" t="inlineStr">
        <is>
          <t>Dev-Frontend</t>
        </is>
      </c>
      <c r="C21" s="5" t="inlineStr">
        <is>
          <t>フロントエンド統括</t>
        </is>
      </c>
      <c r="D21" s="5" t="inlineStr">
        <is>
          <t>フロントエンド全般</t>
        </is>
      </c>
      <c r="E21" s="5" t="inlineStr">
        <is>
          <t>React, Vue, Svelte</t>
        </is>
      </c>
      <c r="F21" s="5" t="inlineStr">
        <is>
          <t>frontend-development, typescript-expert</t>
        </is>
      </c>
      <c r="G21" s="5" t="inlineStr">
        <is>
          <t>フロントエンド全般</t>
        </is>
      </c>
      <c r="H21" s="5" t="inlineStr">
        <is>
          <t>sonnet</t>
        </is>
      </c>
    </row>
    <row r="22">
      <c r="A22" s="4" t="inlineStr">
        <is>
          <t>Developer</t>
        </is>
      </c>
      <c r="B22" s="5" t="inlineStr">
        <is>
          <t>Dev-Backend</t>
        </is>
      </c>
      <c r="C22" s="5" t="inlineStr">
        <is>
          <t>バックエンド統括</t>
        </is>
      </c>
      <c r="D22" s="5" t="inlineStr">
        <is>
          <t>バックエンド全般</t>
        </is>
      </c>
      <c r="E22" s="5" t="inlineStr">
        <is>
          <t>Node.js, Python, Go</t>
        </is>
      </c>
      <c r="F22" s="5" t="inlineStr">
        <is>
          <t>backend-development, api-design</t>
        </is>
      </c>
      <c r="G22" s="5" t="inlineStr">
        <is>
          <t>バックエンド全般</t>
        </is>
      </c>
      <c r="H22" s="5" t="inlineStr">
        <is>
          <t>sonnet</t>
        </is>
      </c>
    </row>
    <row r="23">
      <c r="A23" s="10" t="inlineStr">
        <is>
          <t>QA</t>
        </is>
      </c>
      <c r="B23" s="5" t="inlineStr">
        <is>
          <t>QA-Lead</t>
        </is>
      </c>
      <c r="C23" s="5" t="inlineStr">
        <is>
          <t>QAリード</t>
        </is>
      </c>
      <c r="D23" s="5" t="inlineStr">
        <is>
          <t>テスト戦略・計画</t>
        </is>
      </c>
      <c r="E23" s="5" t="inlineStr">
        <is>
          <t>-</t>
        </is>
      </c>
      <c r="F23" s="5" t="inlineStr">
        <is>
          <t>test-planning, ipa-quality-checklist</t>
        </is>
      </c>
      <c r="G23" s="5" t="inlineStr">
        <is>
          <t>テストフェーズ開始</t>
        </is>
      </c>
      <c r="H23" s="5" t="inlineStr">
        <is>
          <t>sonnet</t>
        </is>
      </c>
    </row>
    <row r="24">
      <c r="A24" s="10" t="inlineStr">
        <is>
          <t>QA</t>
        </is>
      </c>
      <c r="B24" s="5" t="inlineStr">
        <is>
          <t>QA-Engineer</t>
        </is>
      </c>
      <c r="C24" s="5" t="inlineStr">
        <is>
          <t>QAエンジニア</t>
        </is>
      </c>
      <c r="D24" s="5" t="inlineStr">
        <is>
          <t>テスト設計・実行</t>
        </is>
      </c>
      <c r="E24" s="5" t="inlineStr">
        <is>
          <t>-</t>
        </is>
      </c>
      <c r="F24" s="5" t="inlineStr">
        <is>
          <t>test-design, test-execution</t>
        </is>
      </c>
      <c r="G24" s="5" t="inlineStr">
        <is>
          <t>テスト仕様書作成時</t>
        </is>
      </c>
      <c r="H24" s="5" t="inlineStr">
        <is>
          <t>sonnet</t>
        </is>
      </c>
    </row>
    <row r="25">
      <c r="A25" s="10" t="inlineStr">
        <is>
          <t>QA</t>
        </is>
      </c>
      <c r="B25" s="5" t="inlineStr">
        <is>
          <t>QA-Automation</t>
        </is>
      </c>
      <c r="C25" s="5" t="inlineStr">
        <is>
          <t>テスト自動化エンジニア</t>
        </is>
      </c>
      <c r="D25" s="5" t="inlineStr">
        <is>
          <t>E2E自動化</t>
        </is>
      </c>
      <c r="E25" s="5" t="inlineStr">
        <is>
          <t>Playwright, Cypress</t>
        </is>
      </c>
      <c r="F25" s="5" t="inlineStr">
        <is>
          <t>test-automation, playwright-cypress</t>
        </is>
      </c>
      <c r="G25" s="5" t="inlineStr">
        <is>
          <t>自動テスト作成時</t>
        </is>
      </c>
      <c r="H25" s="5" t="inlineStr">
        <is>
          <t>sonnet</t>
        </is>
      </c>
    </row>
    <row r="26">
      <c r="A26" s="10" t="inlineStr">
        <is>
          <t>QA</t>
        </is>
      </c>
      <c r="B26" s="5" t="inlineStr">
        <is>
          <t>QA-Performance</t>
        </is>
      </c>
      <c r="C26" s="5" t="inlineStr">
        <is>
          <t>性能テストエンジニア</t>
        </is>
      </c>
      <c r="D26" s="5" t="inlineStr">
        <is>
          <t>負荷・性能テスト</t>
        </is>
      </c>
      <c r="E26" s="5" t="inlineStr">
        <is>
          <t>k6, Gatling</t>
        </is>
      </c>
      <c r="F26" s="5" t="inlineStr">
        <is>
          <t>performance-testing, k6-gatling</t>
        </is>
      </c>
      <c r="G26" s="5" t="inlineStr">
        <is>
          <t>性能テスト時</t>
        </is>
      </c>
      <c r="H26" s="5" t="inlineStr">
        <is>
          <t>sonnet</t>
        </is>
      </c>
    </row>
    <row r="27">
      <c r="A27" s="10" t="inlineStr">
        <is>
          <t>QA</t>
        </is>
      </c>
      <c r="B27" s="5" t="inlineStr">
        <is>
          <t>QA-Security</t>
        </is>
      </c>
      <c r="C27" s="5" t="inlineStr">
        <is>
          <t>セキュリティテスター</t>
        </is>
      </c>
      <c r="D27" s="5" t="inlineStr">
        <is>
          <t>脆弱性診断</t>
        </is>
      </c>
      <c r="E27" s="5" t="inlineStr">
        <is>
          <t>OWASP ZAP, Burp</t>
        </is>
      </c>
      <c r="F27" s="5" t="inlineStr">
        <is>
          <t>security-testing, owasp-testing</t>
        </is>
      </c>
      <c r="G27" s="5" t="inlineStr">
        <is>
          <t>セキュリティテスト時</t>
        </is>
      </c>
      <c r="H27" s="5" t="inlineStr">
        <is>
          <t>sonnet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1" t="inlineStr">
        <is>
          <t>項目</t>
        </is>
      </c>
      <c r="B1" s="11" t="inlineStr">
        <is>
          <t>内容</t>
        </is>
      </c>
      <c r="C1" s="11" t="inlineStr">
        <is>
          <t>例・詳細</t>
        </is>
      </c>
    </row>
    <row r="2">
      <c r="A2" s="12">
        <f>== 動的エージェント生成システム ===</f>
        <v/>
      </c>
      <c r="B2" s="5" t="inlineStr"/>
      <c r="C2" s="5" t="inlineStr"/>
    </row>
    <row r="3">
      <c r="A3" s="3" t="inlineStr">
        <is>
          <t>目的</t>
        </is>
      </c>
      <c r="B3" s="5" t="inlineStr">
        <is>
          <t>プロジェクト進行中に新技術対応エージェントを作成・更新</t>
        </is>
      </c>
      <c r="C3" s="5" t="inlineStr">
        <is>
          <t>技術スタックの変化に柔軟対応</t>
        </is>
      </c>
    </row>
    <row r="4">
      <c r="A4" s="5" t="inlineStr"/>
      <c r="B4" s="5" t="inlineStr"/>
      <c r="C4" s="5" t="inlineStr"/>
    </row>
    <row r="5">
      <c r="A5" s="12">
        <f>== 生成トリガー条件 ===</f>
        <v/>
      </c>
      <c r="B5" s="5" t="inlineStr"/>
      <c r="C5" s="5" t="inlineStr"/>
    </row>
    <row r="6">
      <c r="A6" s="3" t="inlineStr">
        <is>
          <t>新技術導入時</t>
        </is>
      </c>
      <c r="B6" s="5" t="inlineStr">
        <is>
          <t>技術選定で未定義エージェントが必要と判断</t>
        </is>
      </c>
      <c r="C6" s="5" t="inlineStr">
        <is>
          <t>例: Honoを採用 → Dev-Hono生成</t>
        </is>
      </c>
    </row>
    <row r="7">
      <c r="A7" s="3" t="inlineStr">
        <is>
          <t>フレームワーク更新時</t>
        </is>
      </c>
      <c r="B7" s="5" t="inlineStr">
        <is>
          <t>メジャーバージョンアップで知識更新必要</t>
        </is>
      </c>
      <c r="C7" s="5" t="inlineStr">
        <is>
          <t>例: Next.js 15対応 → Dev-NextJS更新</t>
        </is>
      </c>
    </row>
    <row r="8">
      <c r="A8" s="3" t="inlineStr">
        <is>
          <t>プロジェクト固有要件</t>
        </is>
      </c>
      <c r="B8" s="5" t="inlineStr">
        <is>
          <t>特殊なドメイン知識が必要</t>
        </is>
      </c>
      <c r="C8" s="5" t="inlineStr">
        <is>
          <t>例: 医療システム → MedicalDomainExpert生成</t>
        </is>
      </c>
    </row>
    <row r="9">
      <c r="A9" s="5" t="inlineStr"/>
      <c r="B9" s="5" t="inlineStr"/>
      <c r="C9" s="5" t="inlineStr"/>
    </row>
    <row r="10">
      <c r="A10" s="12">
        <f>== エージェント生成プロセス ===</f>
        <v/>
      </c>
      <c r="B10" s="5" t="inlineStr"/>
      <c r="C10" s="5" t="inlineStr"/>
    </row>
    <row r="11">
      <c r="A11" s="4" t="inlineStr">
        <is>
          <t>Step 1: 技術調査</t>
        </is>
      </c>
      <c r="B11" s="5" t="inlineStr">
        <is>
          <t>PMが新技術の必要性を識別</t>
        </is>
      </c>
      <c r="C11" s="5" t="inlineStr">
        <is>
          <t>WebSearchで最新情報収集</t>
        </is>
      </c>
    </row>
    <row r="12">
      <c r="A12" s="4" t="inlineStr">
        <is>
          <t>Step 2: スキル定義作成</t>
        </is>
      </c>
      <c r="B12" s="5" t="inlineStr">
        <is>
          <t>Architectが.claude/skills/新技術/SKILL.md作成</t>
        </is>
      </c>
      <c r="C12" s="5" t="inlineStr">
        <is>
          <t>公式ドキュメント要約、ベストプラクティス</t>
        </is>
      </c>
    </row>
    <row r="13">
      <c r="A13" s="4" t="inlineStr">
        <is>
          <t>Step 3: エージェント定義</t>
        </is>
      </c>
      <c r="B13" s="5" t="inlineStr">
        <is>
          <t>PMが.claude/agents/新エージェント.md作成</t>
        </is>
      </c>
      <c r="C13" s="5" t="inlineStr">
        <is>
          <t>テンプレートベース生成</t>
        </is>
      </c>
    </row>
    <row r="14">
      <c r="A14" s="4" t="inlineStr">
        <is>
          <t>Step 4: 検証</t>
        </is>
      </c>
      <c r="B14" s="5" t="inlineStr">
        <is>
          <t>テストタスクで動作確認</t>
        </is>
      </c>
      <c r="C14" s="5" t="inlineStr">
        <is>
          <t>サンプルコード生成で品質確認</t>
        </is>
      </c>
    </row>
    <row r="15">
      <c r="A15" s="4" t="inlineStr">
        <is>
          <t>Step 5: 登録</t>
        </is>
      </c>
      <c r="B15" s="5" t="inlineStr">
        <is>
          <t>PROJECT_STATUS.mdに追加、CLAUDE.mdに召喚条件追加</t>
        </is>
      </c>
      <c r="C15" s="5" t="inlineStr"/>
    </row>
    <row r="16">
      <c r="A16" s="5" t="inlineStr"/>
      <c r="B16" s="5" t="inlineStr"/>
      <c r="C16" s="5" t="inlineStr"/>
    </row>
    <row r="17">
      <c r="A17" s="12">
        <f>== エージェント定義テンプレート ===</f>
        <v/>
      </c>
      <c r="B17" s="5" t="inlineStr"/>
      <c r="C17" s="5" t="inlineStr"/>
    </row>
    <row r="18">
      <c r="A18" s="3" t="inlineStr">
        <is>
          <t>テンプレートパス</t>
        </is>
      </c>
      <c r="B18" s="5" t="inlineStr">
        <is>
          <t>.claude/templates/agent-template.md</t>
        </is>
      </c>
      <c r="C18" s="5" t="inlineStr"/>
    </row>
    <row r="19">
      <c r="A19" s="3" t="inlineStr">
        <is>
          <t>必須項目: name</t>
        </is>
      </c>
      <c r="B19" s="5" t="inlineStr">
        <is>
          <t>一意識別子（kebab-case）</t>
        </is>
      </c>
      <c r="C19" s="5" t="inlineStr">
        <is>
          <t>dev-hono</t>
        </is>
      </c>
    </row>
    <row r="20">
      <c r="A20" s="3" t="inlineStr">
        <is>
          <t>必須項目: description</t>
        </is>
      </c>
      <c r="B20" s="5" t="inlineStr">
        <is>
          <t>役割と専門領域の説明</t>
        </is>
      </c>
      <c r="C20" s="5" t="inlineStr"/>
    </row>
    <row r="21">
      <c r="A21" s="3" t="inlineStr">
        <is>
          <t>必須項目: tools</t>
        </is>
      </c>
      <c r="B21" s="5" t="inlineStr">
        <is>
          <t>使用許可ツール</t>
        </is>
      </c>
      <c r="C21" s="5" t="inlineStr">
        <is>
          <t>Read, Edit, Write, Bash</t>
        </is>
      </c>
    </row>
    <row r="22">
      <c r="A22" s="3" t="inlineStr">
        <is>
          <t>必須項目: model</t>
        </is>
      </c>
      <c r="B22" s="5" t="inlineStr">
        <is>
          <t>使用モデル</t>
        </is>
      </c>
      <c r="C22" s="5" t="inlineStr">
        <is>
          <t>sonnet / opus / haiku</t>
        </is>
      </c>
    </row>
    <row r="23">
      <c r="A23" s="3" t="inlineStr">
        <is>
          <t>必須項目: skills</t>
        </is>
      </c>
      <c r="B23" s="5" t="inlineStr">
        <is>
          <t>依存スキル一覧</t>
        </is>
      </c>
      <c r="C23" s="5" t="inlineStr">
        <is>
          <t>hono-expert, typescript-expert</t>
        </is>
      </c>
    </row>
    <row r="24">
      <c r="A24" s="5" t="inlineStr"/>
      <c r="B24" s="5" t="inlineStr"/>
      <c r="C24" s="5" t="inlineStr"/>
    </row>
    <row r="25">
      <c r="A25" s="12">
        <f>== スキル定義テンプレート ===</f>
        <v/>
      </c>
      <c r="B25" s="5" t="inlineStr"/>
      <c r="C25" s="5" t="inlineStr"/>
    </row>
    <row r="26">
      <c r="A26" s="3" t="inlineStr">
        <is>
          <t>テンプレートパス</t>
        </is>
      </c>
      <c r="B26" s="5" t="inlineStr">
        <is>
          <t>.claude/templates/skill-template.md</t>
        </is>
      </c>
      <c r="C26" s="5" t="inlineStr"/>
    </row>
    <row r="27">
      <c r="A27" s="3" t="inlineStr">
        <is>
          <t>必須項目: name</t>
        </is>
      </c>
      <c r="B27" s="5" t="inlineStr">
        <is>
          <t>スキル識別子</t>
        </is>
      </c>
      <c r="C27" s="5" t="inlineStr">
        <is>
          <t>hono-expert</t>
        </is>
      </c>
    </row>
    <row r="28">
      <c r="A28" s="3" t="inlineStr">
        <is>
          <t>必須項目: description</t>
        </is>
      </c>
      <c r="B28" s="5" t="inlineStr">
        <is>
          <t>スキルの概要（100トークン以内）</t>
        </is>
      </c>
      <c r="C28" s="5" t="inlineStr">
        <is>
          <t>Progressive Disclosure対応</t>
        </is>
      </c>
    </row>
    <row r="29">
      <c r="A29" s="3" t="inlineStr">
        <is>
          <t>必須項目: allowed-tools</t>
        </is>
      </c>
      <c r="B29" s="5" t="inlineStr">
        <is>
          <t>許可ツール</t>
        </is>
      </c>
      <c r="C29" s="5" t="inlineStr">
        <is>
          <t>Read, Grep, Glob, Bash</t>
        </is>
      </c>
    </row>
    <row r="30">
      <c r="A30" s="3" t="inlineStr">
        <is>
          <t>推奨項目: version</t>
        </is>
      </c>
      <c r="B30" s="5" t="inlineStr">
        <is>
          <t>対応バージョン</t>
        </is>
      </c>
      <c r="C30" s="5" t="inlineStr">
        <is>
          <t>Hono v4.x</t>
        </is>
      </c>
    </row>
    <row r="31">
      <c r="A31" s="3" t="inlineStr">
        <is>
          <t>推奨項目: official-docs</t>
        </is>
      </c>
      <c r="B31" s="5" t="inlineStr">
        <is>
          <t>公式ドキュメントURL</t>
        </is>
      </c>
      <c r="C31" s="5" t="inlineStr">
        <is>
          <t>https://hono.dev/</t>
        </is>
      </c>
    </row>
    <row r="32">
      <c r="A32" s="3" t="inlineStr">
        <is>
          <t>推奨項目: best-practices</t>
        </is>
      </c>
      <c r="B32" s="5" t="inlineStr">
        <is>
          <t>ベストプラクティス一覧</t>
        </is>
      </c>
      <c r="C32" s="5" t="inlineStr"/>
    </row>
    <row r="33">
      <c r="A33" s="3" t="inlineStr">
        <is>
          <t>推奨項目: anti-patterns</t>
        </is>
      </c>
      <c r="B33" s="5" t="inlineStr">
        <is>
          <t>アンチパターン一覧</t>
        </is>
      </c>
      <c r="C33" s="5" t="inlineStr"/>
    </row>
    <row r="34">
      <c r="A34" s="5" t="inlineStr"/>
      <c r="B34" s="5" t="inlineStr"/>
      <c r="C34" s="5" t="inlineStr"/>
    </row>
    <row r="35">
      <c r="A35" s="12">
        <f>== 更新・廃止ルール ===</f>
        <v/>
      </c>
      <c r="B35" s="5" t="inlineStr"/>
      <c r="C35" s="5" t="inlineStr"/>
    </row>
    <row r="36">
      <c r="A36" s="3" t="inlineStr">
        <is>
          <t>更新タイミング</t>
        </is>
      </c>
      <c r="B36" s="5" t="inlineStr">
        <is>
          <t>メジャーバージョンアップ時、破壊的変更時</t>
        </is>
      </c>
      <c r="C36" s="5" t="inlineStr"/>
    </row>
    <row r="37">
      <c r="A37" s="3" t="inlineStr">
        <is>
          <t>更新プロセス</t>
        </is>
      </c>
      <c r="B37" s="5" t="inlineStr">
        <is>
          <t>Web検索→差分抽出→SKILL.md更新→検証</t>
        </is>
      </c>
      <c r="C37" s="5" t="inlineStr"/>
    </row>
    <row r="38">
      <c r="A38" s="3" t="inlineStr">
        <is>
          <t>廃止判断</t>
        </is>
      </c>
      <c r="B38" s="5" t="inlineStr">
        <is>
          <t>3ヶ月以上未使用 &amp; 代替技術存在</t>
        </is>
      </c>
      <c r="C38" s="5" t="inlineStr"/>
    </row>
    <row r="39">
      <c r="A39" s="3" t="inlineStr">
        <is>
          <t>廃止プロセス</t>
        </is>
      </c>
      <c r="B39" s="5" t="inlineStr">
        <is>
          <t>DEPRECATED追記→1スプリント後削除</t>
        </is>
      </c>
      <c r="C39" s="5" t="inlineStr"/>
    </row>
    <row r="40">
      <c r="A40" s="5" t="inlineStr"/>
      <c r="B40" s="5" t="inlineStr"/>
      <c r="C40" s="5" t="inlineStr"/>
    </row>
    <row r="41">
      <c r="A41" s="12">
        <f>== PM向けコマンド例 ===</f>
        <v/>
      </c>
      <c r="B41" s="5" t="inlineStr"/>
      <c r="C41" s="5" t="inlineStr"/>
    </row>
    <row r="42">
      <c r="A42" s="3" t="inlineStr">
        <is>
          <t>新規作成</t>
        </is>
      </c>
      <c r="B42" s="5" t="inlineStr">
        <is>
          <t>/create-agent &lt;tech-name&gt;</t>
        </is>
      </c>
      <c r="C42" s="5" t="inlineStr">
        <is>
          <t>例: /create-agent hono</t>
        </is>
      </c>
    </row>
    <row r="43">
      <c r="A43" s="3" t="inlineStr">
        <is>
          <t>スキル更新</t>
        </is>
      </c>
      <c r="B43" s="5" t="inlineStr">
        <is>
          <t>/update-skill &lt;skill-name&gt;</t>
        </is>
      </c>
      <c r="C43" s="5" t="inlineStr">
        <is>
          <t>例: /update-skill react-nextjs</t>
        </is>
      </c>
    </row>
    <row r="44">
      <c r="A44" s="3" t="inlineStr">
        <is>
          <t>一覧表示</t>
        </is>
      </c>
      <c r="B44" s="5" t="inlineStr">
        <is>
          <t>/list-agents</t>
        </is>
      </c>
      <c r="C44" s="5" t="inlineStr">
        <is>
          <t>定義済みエージェント一覧</t>
        </is>
      </c>
    </row>
    <row r="45">
      <c r="A45" s="3" t="inlineStr">
        <is>
          <t>検証実行</t>
        </is>
      </c>
      <c r="B45" s="5" t="inlineStr">
        <is>
          <t>/verify-agent &lt;agent-id&gt;</t>
        </is>
      </c>
      <c r="C45" s="5" t="inlineStr">
        <is>
          <t>テストタスク実行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35" customWidth="1" min="4" max="4"/>
    <col width="30" customWidth="1" min="5" max="5"/>
    <col width="20" customWidth="1" min="6" max="6"/>
    <col width="20" customWidth="1" min="7" max="7"/>
  </cols>
  <sheetData>
    <row r="1">
      <c r="A1" s="11" t="inlineStr">
        <is>
          <t>カテゴリ</t>
        </is>
      </c>
      <c r="B1" s="11" t="inlineStr">
        <is>
          <t>Skill_ID</t>
        </is>
      </c>
      <c r="C1" s="11" t="inlineStr">
        <is>
          <t>Skill名</t>
        </is>
      </c>
      <c r="D1" s="11" t="inlineStr">
        <is>
          <t>概要</t>
        </is>
      </c>
      <c r="E1" s="11" t="inlineStr">
        <is>
          <t>対象Agent</t>
        </is>
      </c>
      <c r="F1" s="11" t="inlineStr">
        <is>
          <t>allowed-tools</t>
        </is>
      </c>
      <c r="G1" s="11" t="inlineStr">
        <is>
          <t>依存Skill</t>
        </is>
      </c>
    </row>
    <row r="2">
      <c r="A2" s="3" t="inlineStr">
        <is>
          <t>IPA/品質</t>
        </is>
      </c>
      <c r="B2" s="5" t="inlineStr">
        <is>
          <t>ipa-quality-checklist</t>
        </is>
      </c>
      <c r="C2" s="5" t="inlineStr">
        <is>
          <t>IPA品質チェックリスト</t>
        </is>
      </c>
      <c r="D2" s="5" t="inlineStr">
        <is>
          <t>共通フレーム準拠の品質ゲート</t>
        </is>
      </c>
      <c r="E2" s="5" t="inlineStr">
        <is>
          <t>QA-Lead, PM</t>
        </is>
      </c>
      <c r="F2" s="5" t="inlineStr">
        <is>
          <t>Read, Grep</t>
        </is>
      </c>
      <c r="G2" s="5" t="inlineStr">
        <is>
          <t>-</t>
        </is>
      </c>
    </row>
    <row r="3">
      <c r="A3" s="3" t="inlineStr">
        <is>
          <t>IPA/品質</t>
        </is>
      </c>
      <c r="B3" s="5" t="inlineStr">
        <is>
          <t>testing-standards</t>
        </is>
      </c>
      <c r="C3" s="5" t="inlineStr">
        <is>
          <t>テスト標準</t>
        </is>
      </c>
      <c r="D3" s="5" t="inlineStr">
        <is>
          <t>テスト密度・バグ密度基準</t>
        </is>
      </c>
      <c r="E3" s="5" t="inlineStr">
        <is>
          <t>QA-*</t>
        </is>
      </c>
      <c r="F3" s="5" t="inlineStr">
        <is>
          <t>Read, Grep</t>
        </is>
      </c>
      <c r="G3" s="5" t="inlineStr">
        <is>
          <t>ipa-quality-checklist</t>
        </is>
      </c>
    </row>
    <row r="4">
      <c r="A4" s="3" t="inlineStr">
        <is>
          <t>IPA/品質</t>
        </is>
      </c>
      <c r="B4" s="5" t="inlineStr">
        <is>
          <t>documentation</t>
        </is>
      </c>
      <c r="C4" s="5" t="inlineStr">
        <is>
          <t>ドキュメント標準</t>
        </is>
      </c>
      <c r="D4" s="5" t="inlineStr">
        <is>
          <t>IPA準拠ドキュメント作成</t>
        </is>
      </c>
      <c r="E4" s="5" t="inlineStr">
        <is>
          <t>All</t>
        </is>
      </c>
      <c r="F4" s="5" t="inlineStr">
        <is>
          <t>Read, Write</t>
        </is>
      </c>
      <c r="G4" s="5" t="inlineStr">
        <is>
          <t>-</t>
        </is>
      </c>
    </row>
    <row r="5">
      <c r="A5" s="4" t="inlineStr">
        <is>
          <t>AWS/Infra</t>
        </is>
      </c>
      <c r="B5" s="5" t="inlineStr">
        <is>
          <t>aws-infrastructure</t>
        </is>
      </c>
      <c r="C5" s="5" t="inlineStr">
        <is>
          <t>AWSインフラ基盤</t>
        </is>
      </c>
      <c r="D5" s="5" t="inlineStr">
        <is>
          <t>Well-Architected準拠設計</t>
        </is>
      </c>
      <c r="E5" s="5" t="inlineStr">
        <is>
          <t>InfraArchitect, Dev-IaC</t>
        </is>
      </c>
      <c r="F5" s="5" t="inlineStr">
        <is>
          <t>Read, Bash, Grep</t>
        </is>
      </c>
      <c r="G5" s="5" t="inlineStr">
        <is>
          <t>-</t>
        </is>
      </c>
    </row>
    <row r="6">
      <c r="A6" s="4" t="inlineStr">
        <is>
          <t>AWS/Infra</t>
        </is>
      </c>
      <c r="B6" s="5" t="inlineStr">
        <is>
          <t>aws-cdk</t>
        </is>
      </c>
      <c r="C6" s="5" t="inlineStr">
        <is>
          <t>AWS CDK</t>
        </is>
      </c>
      <c r="D6" s="5" t="inlineStr">
        <is>
          <t>CDK v2 ベストプラクティス</t>
        </is>
      </c>
      <c r="E6" s="5" t="inlineStr">
        <is>
          <t>Dev-IaC</t>
        </is>
      </c>
      <c r="F6" s="5" t="inlineStr">
        <is>
          <t>Read, Bash, Write</t>
        </is>
      </c>
      <c r="G6" s="5" t="inlineStr">
        <is>
          <t>aws-infrastructure</t>
        </is>
      </c>
    </row>
    <row r="7">
      <c r="A7" s="4" t="inlineStr">
        <is>
          <t>AWS/Infra</t>
        </is>
      </c>
      <c r="B7" s="5" t="inlineStr">
        <is>
          <t>terraform</t>
        </is>
      </c>
      <c r="C7" s="5" t="inlineStr">
        <is>
          <t>Terraform</t>
        </is>
      </c>
      <c r="D7" s="5" t="inlineStr">
        <is>
          <t>Terraform AWS Provider</t>
        </is>
      </c>
      <c r="E7" s="5" t="inlineStr">
        <is>
          <t>Dev-IaC</t>
        </is>
      </c>
      <c r="F7" s="5" t="inlineStr">
        <is>
          <t>Read, Bash, Write</t>
        </is>
      </c>
      <c r="G7" s="5" t="inlineStr">
        <is>
          <t>aws-infrastructure</t>
        </is>
      </c>
    </row>
    <row r="8">
      <c r="A8" s="4" t="inlineStr">
        <is>
          <t>AWS/Infra</t>
        </is>
      </c>
      <c r="B8" s="5" t="inlineStr">
        <is>
          <t>aws-networking</t>
        </is>
      </c>
      <c r="C8" s="5" t="inlineStr">
        <is>
          <t>AWSネットワーク</t>
        </is>
      </c>
      <c r="D8" s="5" t="inlineStr">
        <is>
          <t>VPC, Transit Gateway設計</t>
        </is>
      </c>
      <c r="E8" s="5" t="inlineStr">
        <is>
          <t>InfraArchitect</t>
        </is>
      </c>
      <c r="F8" s="5" t="inlineStr">
        <is>
          <t>Read, Grep</t>
        </is>
      </c>
      <c r="G8" s="5" t="inlineStr">
        <is>
          <t>aws-infrastructure</t>
        </is>
      </c>
    </row>
    <row r="9">
      <c r="A9" s="4" t="inlineStr">
        <is>
          <t>AWS/Infra</t>
        </is>
      </c>
      <c r="B9" s="5" t="inlineStr">
        <is>
          <t>aws-security</t>
        </is>
      </c>
      <c r="C9" s="5" t="inlineStr">
        <is>
          <t>AWSセキュリティ</t>
        </is>
      </c>
      <c r="D9" s="5" t="inlineStr">
        <is>
          <t>IAM, KMS, Security Hub</t>
        </is>
      </c>
      <c r="E9" s="5" t="inlineStr">
        <is>
          <t>SecurityArchitect</t>
        </is>
      </c>
      <c r="F9" s="5" t="inlineStr">
        <is>
          <t>Read, Grep</t>
        </is>
      </c>
      <c r="G9" s="5" t="inlineStr">
        <is>
          <t>aws-infrastructure</t>
        </is>
      </c>
    </row>
    <row r="10">
      <c r="A10" s="4" t="inlineStr">
        <is>
          <t>AWS/Infra</t>
        </is>
      </c>
      <c r="B10" s="5" t="inlineStr">
        <is>
          <t>cloudwatch-expert</t>
        </is>
      </c>
      <c r="C10" s="5" t="inlineStr">
        <is>
          <t>CloudWatch</t>
        </is>
      </c>
      <c r="D10" s="5" t="inlineStr">
        <is>
          <t>メトリクス・アラーム設計</t>
        </is>
      </c>
      <c r="E10" s="5" t="inlineStr">
        <is>
          <t>InfraArchitect</t>
        </is>
      </c>
      <c r="F10" s="5" t="inlineStr">
        <is>
          <t>Read, Bash</t>
        </is>
      </c>
      <c r="G10" s="5" t="inlineStr">
        <is>
          <t>aws-infrastructure</t>
        </is>
      </c>
    </row>
    <row r="11">
      <c r="A11" s="4" t="inlineStr">
        <is>
          <t>AWS/Infra</t>
        </is>
      </c>
      <c r="B11" s="5" t="inlineStr">
        <is>
          <t>container-design</t>
        </is>
      </c>
      <c r="C11" s="5" t="inlineStr">
        <is>
          <t>コンテナ設計</t>
        </is>
      </c>
      <c r="D11" s="5" t="inlineStr">
        <is>
          <t>ECS/EKS設計パターン</t>
        </is>
      </c>
      <c r="E11" s="5" t="inlineStr">
        <is>
          <t>Dev-Container</t>
        </is>
      </c>
      <c r="F11" s="5" t="inlineStr">
        <is>
          <t>Read, Bash</t>
        </is>
      </c>
      <c r="G11" s="5" t="inlineStr">
        <is>
          <t>aws-infrastructure</t>
        </is>
      </c>
    </row>
    <row r="12">
      <c r="A12" s="9" t="inlineStr">
        <is>
          <t>Architecture</t>
        </is>
      </c>
      <c r="B12" s="5" t="inlineStr">
        <is>
          <t>software-architecture</t>
        </is>
      </c>
      <c r="C12" s="5" t="inlineStr">
        <is>
          <t>SW設計</t>
        </is>
      </c>
      <c r="D12" s="5" t="inlineStr">
        <is>
          <t>Clean Architecture, DDD</t>
        </is>
      </c>
      <c r="E12" s="5" t="inlineStr">
        <is>
          <t>AppArchitect</t>
        </is>
      </c>
      <c r="F12" s="5" t="inlineStr">
        <is>
          <t>Read, Grep</t>
        </is>
      </c>
      <c r="G12" s="5" t="inlineStr">
        <is>
          <t>-</t>
        </is>
      </c>
    </row>
    <row r="13">
      <c r="A13" s="9" t="inlineStr">
        <is>
          <t>Architecture</t>
        </is>
      </c>
      <c r="B13" s="5" t="inlineStr">
        <is>
          <t>design-patterns</t>
        </is>
      </c>
      <c r="C13" s="5" t="inlineStr">
        <is>
          <t>デザインパターン</t>
        </is>
      </c>
      <c r="D13" s="5" t="inlineStr">
        <is>
          <t>GoF, エンタープライズパターン</t>
        </is>
      </c>
      <c r="E13" s="5" t="inlineStr">
        <is>
          <t>AppArchitect, Dev-*</t>
        </is>
      </c>
      <c r="F13" s="5" t="inlineStr">
        <is>
          <t>Read, Grep</t>
        </is>
      </c>
      <c r="G13" s="5" t="inlineStr">
        <is>
          <t>-</t>
        </is>
      </c>
    </row>
    <row r="14">
      <c r="A14" s="9" t="inlineStr">
        <is>
          <t>Architecture</t>
        </is>
      </c>
      <c r="B14" s="5" t="inlineStr">
        <is>
          <t>microservices</t>
        </is>
      </c>
      <c r="C14" s="5" t="inlineStr">
        <is>
          <t>マイクロサービス</t>
        </is>
      </c>
      <c r="D14" s="5" t="inlineStr">
        <is>
          <t>MSA設計パターン</t>
        </is>
      </c>
      <c r="E14" s="5" t="inlineStr">
        <is>
          <t>AppArchitect</t>
        </is>
      </c>
      <c r="F14" s="5" t="inlineStr">
        <is>
          <t>Read, Grep</t>
        </is>
      </c>
      <c r="G14" s="5" t="inlineStr">
        <is>
          <t>software-architecture</t>
        </is>
      </c>
    </row>
    <row r="15">
      <c r="A15" s="9" t="inlineStr">
        <is>
          <t>Architecture</t>
        </is>
      </c>
      <c r="B15" s="5" t="inlineStr">
        <is>
          <t>api-design</t>
        </is>
      </c>
      <c r="C15" s="5" t="inlineStr">
        <is>
          <t>API設計</t>
        </is>
      </c>
      <c r="D15" s="5" t="inlineStr">
        <is>
          <t>RESTful, GraphQL設計</t>
        </is>
      </c>
      <c r="E15" s="5" t="inlineStr">
        <is>
          <t>AppArchitect, Dev-Backend</t>
        </is>
      </c>
      <c r="F15" s="5" t="inlineStr">
        <is>
          <t>Read, Grep</t>
        </is>
      </c>
      <c r="G15" s="5" t="inlineStr">
        <is>
          <t>-</t>
        </is>
      </c>
    </row>
    <row r="16">
      <c r="A16" s="9" t="inlineStr">
        <is>
          <t>Architecture</t>
        </is>
      </c>
      <c r="B16" s="5" t="inlineStr">
        <is>
          <t>database-design</t>
        </is>
      </c>
      <c r="C16" s="5" t="inlineStr">
        <is>
          <t>DB設計</t>
        </is>
      </c>
      <c r="D16" s="5" t="inlineStr">
        <is>
          <t>正規化, インデックス設計</t>
        </is>
      </c>
      <c r="E16" s="5" t="inlineStr">
        <is>
          <t>DataArchitect</t>
        </is>
      </c>
      <c r="F16" s="5" t="inlineStr">
        <is>
          <t>Read, Grep</t>
        </is>
      </c>
      <c r="G16" s="5" t="inlineStr">
        <is>
          <t>-</t>
        </is>
      </c>
    </row>
    <row r="17">
      <c r="A17" s="13" t="inlineStr">
        <is>
          <t>Language</t>
        </is>
      </c>
      <c r="B17" s="5" t="inlineStr">
        <is>
          <t>typescript-expert</t>
        </is>
      </c>
      <c r="C17" s="5" t="inlineStr">
        <is>
          <t>TypeScript</t>
        </is>
      </c>
      <c r="D17" s="5" t="inlineStr">
        <is>
          <t>TS 5.x 厳格モード</t>
        </is>
      </c>
      <c r="E17" s="5" t="inlineStr">
        <is>
          <t>Dev-TypeScript, Dev-Frontend</t>
        </is>
      </c>
      <c r="F17" s="5" t="inlineStr">
        <is>
          <t>Read, Grep</t>
        </is>
      </c>
      <c r="G17" s="5" t="inlineStr">
        <is>
          <t>coding-standards</t>
        </is>
      </c>
    </row>
    <row r="18">
      <c r="A18" s="13" t="inlineStr">
        <is>
          <t>Language</t>
        </is>
      </c>
      <c r="B18" s="5" t="inlineStr">
        <is>
          <t>python-expert</t>
        </is>
      </c>
      <c r="C18" s="5" t="inlineStr">
        <is>
          <t>Python</t>
        </is>
      </c>
      <c r="D18" s="5" t="inlineStr">
        <is>
          <t>Python 3.11+ 型ヒント</t>
        </is>
      </c>
      <c r="E18" s="5" t="inlineStr">
        <is>
          <t>Dev-Python</t>
        </is>
      </c>
      <c r="F18" s="5" t="inlineStr">
        <is>
          <t>Read, Grep</t>
        </is>
      </c>
      <c r="G18" s="5" t="inlineStr">
        <is>
          <t>coding-standards</t>
        </is>
      </c>
    </row>
    <row r="19">
      <c r="A19" s="13" t="inlineStr">
        <is>
          <t>Language</t>
        </is>
      </c>
      <c r="B19" s="5" t="inlineStr">
        <is>
          <t>golang-expert</t>
        </is>
      </c>
      <c r="C19" s="5" t="inlineStr">
        <is>
          <t>Go</t>
        </is>
      </c>
      <c r="D19" s="5" t="inlineStr">
        <is>
          <t>Go 1.21+ イディオム</t>
        </is>
      </c>
      <c r="E19" s="5" t="inlineStr">
        <is>
          <t>Dev-Go</t>
        </is>
      </c>
      <c r="F19" s="5" t="inlineStr">
        <is>
          <t>Read, Grep</t>
        </is>
      </c>
      <c r="G19" s="5" t="inlineStr">
        <is>
          <t>coding-standards</t>
        </is>
      </c>
    </row>
    <row r="20">
      <c r="A20" s="13" t="inlineStr">
        <is>
          <t>Language</t>
        </is>
      </c>
      <c r="B20" s="5" t="inlineStr">
        <is>
          <t>rust-expert</t>
        </is>
      </c>
      <c r="C20" s="5" t="inlineStr">
        <is>
          <t>Rust</t>
        </is>
      </c>
      <c r="D20" s="5" t="inlineStr">
        <is>
          <t>Rust 所有権・ライフタイム</t>
        </is>
      </c>
      <c r="E20" s="5" t="inlineStr">
        <is>
          <t>Dev-Rust</t>
        </is>
      </c>
      <c r="F20" s="5" t="inlineStr">
        <is>
          <t>Read, Grep</t>
        </is>
      </c>
      <c r="G20" s="5" t="inlineStr">
        <is>
          <t>coding-standards</t>
        </is>
      </c>
    </row>
    <row r="21">
      <c r="A21" s="13" t="inlineStr">
        <is>
          <t>Language</t>
        </is>
      </c>
      <c r="B21" s="5" t="inlineStr">
        <is>
          <t>java-expert</t>
        </is>
      </c>
      <c r="C21" s="5" t="inlineStr">
        <is>
          <t>Java</t>
        </is>
      </c>
      <c r="D21" s="5" t="inlineStr">
        <is>
          <t>Java 21+ Virtual Threads</t>
        </is>
      </c>
      <c r="E21" s="5" t="inlineStr">
        <is>
          <t>Dev-Java</t>
        </is>
      </c>
      <c r="F21" s="5" t="inlineStr">
        <is>
          <t>Read, Grep</t>
        </is>
      </c>
      <c r="G21" s="5" t="inlineStr">
        <is>
          <t>coding-standards</t>
        </is>
      </c>
    </row>
    <row r="22">
      <c r="A22" s="14" t="inlineStr">
        <is>
          <t>Framework</t>
        </is>
      </c>
      <c r="B22" s="5" t="inlineStr">
        <is>
          <t>react-nextjs</t>
        </is>
      </c>
      <c r="C22" s="5" t="inlineStr">
        <is>
          <t>React/Next.js</t>
        </is>
      </c>
      <c r="D22" s="5" t="inlineStr">
        <is>
          <t>React 18+, Next.js 14+ App Router</t>
        </is>
      </c>
      <c r="E22" s="5" t="inlineStr">
        <is>
          <t>Dev-React, Dev-NextJS</t>
        </is>
      </c>
      <c r="F22" s="5" t="inlineStr">
        <is>
          <t>Read, Grep</t>
        </is>
      </c>
      <c r="G22" s="5" t="inlineStr">
        <is>
          <t>typescript-expert</t>
        </is>
      </c>
    </row>
    <row r="23">
      <c r="A23" s="14" t="inlineStr">
        <is>
          <t>Framework</t>
        </is>
      </c>
      <c r="B23" s="5" t="inlineStr">
        <is>
          <t>nestjs-expert</t>
        </is>
      </c>
      <c r="C23" s="5" t="inlineStr">
        <is>
          <t>NestJS</t>
        </is>
      </c>
      <c r="D23" s="5" t="inlineStr">
        <is>
          <t>NestJS モジュラー設計</t>
        </is>
      </c>
      <c r="E23" s="5" t="inlineStr">
        <is>
          <t>Dev-NestJS</t>
        </is>
      </c>
      <c r="F23" s="5" t="inlineStr">
        <is>
          <t>Read, Grep</t>
        </is>
      </c>
      <c r="G23" s="5" t="inlineStr">
        <is>
          <t>typescript-expert</t>
        </is>
      </c>
    </row>
    <row r="24">
      <c r="A24" s="14" t="inlineStr">
        <is>
          <t>Framework</t>
        </is>
      </c>
      <c r="B24" s="5" t="inlineStr">
        <is>
          <t>fastapi-expert</t>
        </is>
      </c>
      <c r="C24" s="5" t="inlineStr">
        <is>
          <t>FastAPI</t>
        </is>
      </c>
      <c r="D24" s="5" t="inlineStr">
        <is>
          <t>FastAPI 非同期, Pydantic v2</t>
        </is>
      </c>
      <c r="E24" s="5" t="inlineStr">
        <is>
          <t>Dev-FastAPI</t>
        </is>
      </c>
      <c r="F24" s="5" t="inlineStr">
        <is>
          <t>Read, Grep</t>
        </is>
      </c>
      <c r="G24" s="5" t="inlineStr">
        <is>
          <t>python-expert</t>
        </is>
      </c>
    </row>
    <row r="25">
      <c r="A25" s="14" t="inlineStr">
        <is>
          <t>Framework</t>
        </is>
      </c>
      <c r="B25" s="5" t="inlineStr">
        <is>
          <t>django-expert</t>
        </is>
      </c>
      <c r="C25" s="5" t="inlineStr">
        <is>
          <t>Django</t>
        </is>
      </c>
      <c r="D25" s="5" t="inlineStr">
        <is>
          <t>Django 5+, DRF</t>
        </is>
      </c>
      <c r="E25" s="5" t="inlineStr">
        <is>
          <t>Dev-Django</t>
        </is>
      </c>
      <c r="F25" s="5" t="inlineStr">
        <is>
          <t>Read, Grep</t>
        </is>
      </c>
      <c r="G25" s="5" t="inlineStr">
        <is>
          <t>python-expert</t>
        </is>
      </c>
    </row>
    <row r="26">
      <c r="A26" s="15" t="inlineStr">
        <is>
          <t>Database</t>
        </is>
      </c>
      <c r="B26" s="5" t="inlineStr">
        <is>
          <t>postgresql-expert</t>
        </is>
      </c>
      <c r="C26" s="5" t="inlineStr">
        <is>
          <t>PostgreSQL</t>
        </is>
      </c>
      <c r="D26" s="5" t="inlineStr">
        <is>
          <t>PG 15+ パフォーマンスチューニング</t>
        </is>
      </c>
      <c r="E26" s="5" t="inlineStr">
        <is>
          <t>DataArchitect, Dev-Backend</t>
        </is>
      </c>
      <c r="F26" s="5" t="inlineStr">
        <is>
          <t>Read, Bash</t>
        </is>
      </c>
      <c r="G26" s="5" t="inlineStr">
        <is>
          <t>database-design</t>
        </is>
      </c>
    </row>
    <row r="27">
      <c r="A27" s="10" t="inlineStr">
        <is>
          <t>Testing</t>
        </is>
      </c>
      <c r="B27" s="5" t="inlineStr">
        <is>
          <t>jest-vitest</t>
        </is>
      </c>
      <c r="C27" s="5" t="inlineStr">
        <is>
          <t>Jest/Vitest</t>
        </is>
      </c>
      <c r="D27" s="5" t="inlineStr">
        <is>
          <t>ユニットテストFW</t>
        </is>
      </c>
      <c r="E27" s="5" t="inlineStr">
        <is>
          <t>Dev-*, QA-*</t>
        </is>
      </c>
      <c r="F27" s="5" t="inlineStr">
        <is>
          <t>Read, Bash</t>
        </is>
      </c>
      <c r="G27" s="5" t="inlineStr">
        <is>
          <t>testing-standards</t>
        </is>
      </c>
    </row>
    <row r="28">
      <c r="A28" s="10" t="inlineStr">
        <is>
          <t>Testing</t>
        </is>
      </c>
      <c r="B28" s="5" t="inlineStr">
        <is>
          <t>pytest</t>
        </is>
      </c>
      <c r="C28" s="5" t="inlineStr">
        <is>
          <t>pytest</t>
        </is>
      </c>
      <c r="D28" s="5" t="inlineStr">
        <is>
          <t>Pythonテスト</t>
        </is>
      </c>
      <c r="E28" s="5" t="inlineStr">
        <is>
          <t>Dev-Python, QA-*</t>
        </is>
      </c>
      <c r="F28" s="5" t="inlineStr">
        <is>
          <t>Read, Bash</t>
        </is>
      </c>
      <c r="G28" s="5" t="inlineStr">
        <is>
          <t>testing-standards</t>
        </is>
      </c>
    </row>
    <row r="29">
      <c r="A29" s="10" t="inlineStr">
        <is>
          <t>Testing</t>
        </is>
      </c>
      <c r="B29" s="5" t="inlineStr">
        <is>
          <t>playwright-cypress</t>
        </is>
      </c>
      <c r="C29" s="5" t="inlineStr">
        <is>
          <t>Playwright/Cypress</t>
        </is>
      </c>
      <c r="D29" s="5" t="inlineStr">
        <is>
          <t>E2Eテスト</t>
        </is>
      </c>
      <c r="E29" s="5" t="inlineStr">
        <is>
          <t>QA-Automation</t>
        </is>
      </c>
      <c r="F29" s="5" t="inlineStr">
        <is>
          <t>Read, Bash</t>
        </is>
      </c>
      <c r="G29" s="5" t="inlineStr">
        <is>
          <t>testing-standards</t>
        </is>
      </c>
    </row>
    <row r="30">
      <c r="A30" s="10" t="inlineStr">
        <is>
          <t>Testing</t>
        </is>
      </c>
      <c r="B30" s="5" t="inlineStr">
        <is>
          <t>k6-gatling</t>
        </is>
      </c>
      <c r="C30" s="5" t="inlineStr">
        <is>
          <t>k6/Gatling</t>
        </is>
      </c>
      <c r="D30" s="5" t="inlineStr">
        <is>
          <t>負荷テスト</t>
        </is>
      </c>
      <c r="E30" s="5" t="inlineStr">
        <is>
          <t>QA-Performance</t>
        </is>
      </c>
      <c r="F30" s="5" t="inlineStr">
        <is>
          <t>Read, Bash</t>
        </is>
      </c>
      <c r="G30" s="5" t="inlineStr">
        <is>
          <t>testing-standards</t>
        </is>
      </c>
    </row>
    <row r="31">
      <c r="A31" s="16" t="inlineStr">
        <is>
          <t>Security</t>
        </is>
      </c>
      <c r="B31" s="5" t="inlineStr">
        <is>
          <t>security-design</t>
        </is>
      </c>
      <c r="C31" s="5" t="inlineStr">
        <is>
          <t>セキュリティ設計</t>
        </is>
      </c>
      <c r="D31" s="5" t="inlineStr">
        <is>
          <t>脅威モデリング, 暗号化</t>
        </is>
      </c>
      <c r="E31" s="5" t="inlineStr">
        <is>
          <t>SecurityArchitect</t>
        </is>
      </c>
      <c r="F31" s="5" t="inlineStr">
        <is>
          <t>Read, Grep</t>
        </is>
      </c>
      <c r="G31" s="5" t="inlineStr">
        <is>
          <t>-</t>
        </is>
      </c>
    </row>
    <row r="32">
      <c r="A32" s="16" t="inlineStr">
        <is>
          <t>Security</t>
        </is>
      </c>
      <c r="B32" s="5" t="inlineStr">
        <is>
          <t>owasp-testing</t>
        </is>
      </c>
      <c r="C32" s="5" t="inlineStr">
        <is>
          <t>OWASPテスト</t>
        </is>
      </c>
      <c r="D32" s="5" t="inlineStr">
        <is>
          <t>OWASP Top 10対策</t>
        </is>
      </c>
      <c r="E32" s="5" t="inlineStr">
        <is>
          <t>QA-Security</t>
        </is>
      </c>
      <c r="F32" s="5" t="inlineStr">
        <is>
          <t>Read, Bash</t>
        </is>
      </c>
      <c r="G32" s="5" t="inlineStr">
        <is>
          <t>security-design</t>
        </is>
      </c>
    </row>
    <row r="33">
      <c r="A33" s="17" t="inlineStr">
        <is>
          <t>Common</t>
        </is>
      </c>
      <c r="B33" s="5" t="inlineStr">
        <is>
          <t>coding-standards</t>
        </is>
      </c>
      <c r="C33" s="5" t="inlineStr">
        <is>
          <t>コーディング規約</t>
        </is>
      </c>
      <c r="D33" s="5" t="inlineStr">
        <is>
          <t>命名規則, フォーマット</t>
        </is>
      </c>
      <c r="E33" s="5" t="inlineStr">
        <is>
          <t>All Dev-*</t>
        </is>
      </c>
      <c r="F33" s="5" t="inlineStr">
        <is>
          <t>Read, Grep</t>
        </is>
      </c>
      <c r="G33" s="5" t="inlineStr">
        <is>
          <t>-</t>
        </is>
      </c>
    </row>
    <row r="34">
      <c r="A34" s="17" t="inlineStr">
        <is>
          <t>Common</t>
        </is>
      </c>
      <c r="B34" s="5" t="inlineStr">
        <is>
          <t>git-workflow</t>
        </is>
      </c>
      <c r="C34" s="5" t="inlineStr">
        <is>
          <t>Gitワークフロー</t>
        </is>
      </c>
      <c r="D34" s="5" t="inlineStr">
        <is>
          <t>ブランチ戦略, コミット規約</t>
        </is>
      </c>
      <c r="E34" s="5" t="inlineStr">
        <is>
          <t>All</t>
        </is>
      </c>
      <c r="F34" s="5" t="inlineStr">
        <is>
          <t>Read, Bash</t>
        </is>
      </c>
      <c r="G34" s="5" t="inlineStr">
        <is>
          <t>-</t>
        </is>
      </c>
    </row>
    <row r="35">
      <c r="A35" s="17" t="inlineStr">
        <is>
          <t>Common</t>
        </is>
      </c>
      <c r="B35" s="5" t="inlineStr">
        <is>
          <t>github-actions</t>
        </is>
      </c>
      <c r="C35" s="5" t="inlineStr">
        <is>
          <t>GitHub Actions</t>
        </is>
      </c>
      <c r="D35" s="5" t="inlineStr">
        <is>
          <t>CI/CD パイプライン</t>
        </is>
      </c>
      <c r="E35" s="5" t="inlineStr">
        <is>
          <t>Dev-IaC, Dev-*</t>
        </is>
      </c>
      <c r="F35" s="5" t="inlineStr">
        <is>
          <t>Read, Write</t>
        </is>
      </c>
      <c r="G35" s="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1" t="inlineStr">
        <is>
          <t>Agent \ Phase</t>
        </is>
      </c>
      <c r="B1" s="18" t="inlineStr">
        <is>
          <t>企画</t>
        </is>
      </c>
      <c r="C1" s="18" t="inlineStr">
        <is>
          <t>要件定義</t>
        </is>
      </c>
      <c r="D1" s="18" t="inlineStr">
        <is>
          <t>方式設計</t>
        </is>
      </c>
      <c r="E1" s="18" t="inlineStr">
        <is>
          <t>SW要件</t>
        </is>
      </c>
      <c r="F1" s="18" t="inlineStr">
        <is>
          <t>SW方式</t>
        </is>
      </c>
      <c r="G1" s="18" t="inlineStr">
        <is>
          <t>詳細設計</t>
        </is>
      </c>
      <c r="H1" s="18" t="inlineStr">
        <is>
          <t>実装</t>
        </is>
      </c>
      <c r="I1" s="18" t="inlineStr">
        <is>
          <t>結合テスト</t>
        </is>
      </c>
      <c r="J1" s="18" t="inlineStr">
        <is>
          <t>システムテスト</t>
        </is>
      </c>
      <c r="K1" s="18" t="inlineStr">
        <is>
          <t>導入</t>
        </is>
      </c>
      <c r="L1" s="18" t="inlineStr">
        <is>
          <t>運用</t>
        </is>
      </c>
    </row>
    <row r="2">
      <c r="A2" s="3" t="inlineStr">
        <is>
          <t>PM</t>
        </is>
      </c>
      <c r="B2" s="19" t="inlineStr">
        <is>
          <t>◎</t>
        </is>
      </c>
      <c r="C2" s="19" t="inlineStr">
        <is>
          <t>◎</t>
        </is>
      </c>
      <c r="D2" s="20" t="inlineStr">
        <is>
          <t>○</t>
        </is>
      </c>
      <c r="E2" s="20" t="inlineStr">
        <is>
          <t>○</t>
        </is>
      </c>
      <c r="F2" s="20" t="inlineStr">
        <is>
          <t>○</t>
        </is>
      </c>
      <c r="G2" s="20" t="inlineStr">
        <is>
          <t>○</t>
        </is>
      </c>
      <c r="H2" s="20" t="inlineStr">
        <is>
          <t>○</t>
        </is>
      </c>
      <c r="I2" s="20" t="inlineStr">
        <is>
          <t>○</t>
        </is>
      </c>
      <c r="J2" s="20" t="inlineStr">
        <is>
          <t>○</t>
        </is>
      </c>
      <c r="K2" s="19" t="inlineStr">
        <is>
          <t>◎</t>
        </is>
      </c>
      <c r="L2" s="20" t="inlineStr">
        <is>
          <t>○</t>
        </is>
      </c>
    </row>
    <row r="3">
      <c r="A3" s="3" t="inlineStr">
        <is>
          <t>BizAnalyst</t>
        </is>
      </c>
      <c r="B3" s="20" t="inlineStr">
        <is>
          <t>○</t>
        </is>
      </c>
      <c r="C3" s="19" t="inlineStr">
        <is>
          <t>◎</t>
        </is>
      </c>
      <c r="D3" s="21" t="inlineStr">
        <is>
          <t>△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2" t="inlineStr">
        <is>
          <t>-</t>
        </is>
      </c>
      <c r="L3" s="22" t="inlineStr">
        <is>
          <t>-</t>
        </is>
      </c>
    </row>
    <row r="4">
      <c r="A4" s="3" t="inlineStr">
        <is>
          <t>AppArchitect</t>
        </is>
      </c>
      <c r="B4" s="20" t="inlineStr">
        <is>
          <t>○</t>
        </is>
      </c>
      <c r="C4" s="19" t="inlineStr">
        <is>
          <t>◎</t>
        </is>
      </c>
      <c r="D4" s="19" t="inlineStr">
        <is>
          <t>◎</t>
        </is>
      </c>
      <c r="E4" s="19" t="inlineStr">
        <is>
          <t>◎</t>
        </is>
      </c>
      <c r="F4" s="19" t="inlineStr">
        <is>
          <t>◎</t>
        </is>
      </c>
      <c r="G4" s="20" t="inlineStr">
        <is>
          <t>○</t>
        </is>
      </c>
      <c r="H4" s="20" t="inlineStr">
        <is>
          <t>○</t>
        </is>
      </c>
      <c r="I4" s="21" t="inlineStr">
        <is>
          <t>△</t>
        </is>
      </c>
      <c r="J4" s="21" t="inlineStr">
        <is>
          <t>△</t>
        </is>
      </c>
      <c r="K4" s="21" t="inlineStr">
        <is>
          <t>△</t>
        </is>
      </c>
      <c r="L4" s="22" t="inlineStr">
        <is>
          <t>-</t>
        </is>
      </c>
    </row>
    <row r="5">
      <c r="A5" s="3" t="inlineStr">
        <is>
          <t>InfraArchitect</t>
        </is>
      </c>
      <c r="B5" s="21" t="inlineStr">
        <is>
          <t>△</t>
        </is>
      </c>
      <c r="C5" s="20" t="inlineStr">
        <is>
          <t>○</t>
        </is>
      </c>
      <c r="D5" s="19" t="inlineStr">
        <is>
          <t>◎</t>
        </is>
      </c>
      <c r="E5" s="21" t="inlineStr">
        <is>
          <t>△</t>
        </is>
      </c>
      <c r="F5" s="20" t="inlineStr">
        <is>
          <t>○</t>
        </is>
      </c>
      <c r="G5" s="22" t="inlineStr">
        <is>
          <t>-</t>
        </is>
      </c>
      <c r="H5" s="20" t="inlineStr">
        <is>
          <t>○</t>
        </is>
      </c>
      <c r="I5" s="20" t="inlineStr">
        <is>
          <t>○</t>
        </is>
      </c>
      <c r="J5" s="19" t="inlineStr">
        <is>
          <t>◎</t>
        </is>
      </c>
      <c r="K5" s="19" t="inlineStr">
        <is>
          <t>◎</t>
        </is>
      </c>
      <c r="L5" s="19" t="inlineStr">
        <is>
          <t>◎</t>
        </is>
      </c>
    </row>
    <row r="6">
      <c r="A6" s="3" t="inlineStr">
        <is>
          <t>DataArchitect</t>
        </is>
      </c>
      <c r="B6" s="22" t="inlineStr">
        <is>
          <t>-</t>
        </is>
      </c>
      <c r="C6" s="20" t="inlineStr">
        <is>
          <t>○</t>
        </is>
      </c>
      <c r="D6" s="19" t="inlineStr">
        <is>
          <t>◎</t>
        </is>
      </c>
      <c r="E6" s="20" t="inlineStr">
        <is>
          <t>○</t>
        </is>
      </c>
      <c r="F6" s="19" t="inlineStr">
        <is>
          <t>◎</t>
        </is>
      </c>
      <c r="G6" s="20" t="inlineStr">
        <is>
          <t>○</t>
        </is>
      </c>
      <c r="H6" s="20" t="inlineStr">
        <is>
          <t>○</t>
        </is>
      </c>
      <c r="I6" s="21" t="inlineStr">
        <is>
          <t>△</t>
        </is>
      </c>
      <c r="J6" s="21" t="inlineStr">
        <is>
          <t>△</t>
        </is>
      </c>
      <c r="K6" s="20" t="inlineStr">
        <is>
          <t>○</t>
        </is>
      </c>
      <c r="L6" s="22" t="inlineStr">
        <is>
          <t>-</t>
        </is>
      </c>
    </row>
    <row r="7">
      <c r="A7" s="3" t="inlineStr">
        <is>
          <t>SecurityArchitect</t>
        </is>
      </c>
      <c r="B7" s="21" t="inlineStr">
        <is>
          <t>△</t>
        </is>
      </c>
      <c r="C7" s="19" t="inlineStr">
        <is>
          <t>◎</t>
        </is>
      </c>
      <c r="D7" s="19" t="inlineStr">
        <is>
          <t>◎</t>
        </is>
      </c>
      <c r="E7" s="21" t="inlineStr">
        <is>
          <t>△</t>
        </is>
      </c>
      <c r="F7" s="20" t="inlineStr">
        <is>
          <t>○</t>
        </is>
      </c>
      <c r="G7" s="22" t="inlineStr">
        <is>
          <t>-</t>
        </is>
      </c>
      <c r="H7" s="21" t="inlineStr">
        <is>
          <t>△</t>
        </is>
      </c>
      <c r="I7" s="21" t="inlineStr">
        <is>
          <t>△</t>
        </is>
      </c>
      <c r="J7" s="19" t="inlineStr">
        <is>
          <t>◎</t>
        </is>
      </c>
      <c r="K7" s="20" t="inlineStr">
        <is>
          <t>○</t>
        </is>
      </c>
      <c r="L7" s="20" t="inlineStr">
        <is>
          <t>○</t>
        </is>
      </c>
    </row>
    <row r="8">
      <c r="A8" s="3" t="inlineStr">
        <is>
          <t>Dev-Frontend</t>
        </is>
      </c>
      <c r="B8" s="22" t="inlineStr">
        <is>
          <t>-</t>
        </is>
      </c>
      <c r="C8" s="22" t="inlineStr">
        <is>
          <t>-</t>
        </is>
      </c>
      <c r="D8" s="21" t="inlineStr">
        <is>
          <t>△</t>
        </is>
      </c>
      <c r="E8" s="19" t="inlineStr">
        <is>
          <t>◎</t>
        </is>
      </c>
      <c r="F8" s="20" t="inlineStr">
        <is>
          <t>○</t>
        </is>
      </c>
      <c r="G8" s="19" t="inlineStr">
        <is>
          <t>◎</t>
        </is>
      </c>
      <c r="H8" s="19" t="inlineStr">
        <is>
          <t>◎</t>
        </is>
      </c>
      <c r="I8" s="20" t="inlineStr">
        <is>
          <t>○</t>
        </is>
      </c>
      <c r="J8" s="21" t="inlineStr">
        <is>
          <t>△</t>
        </is>
      </c>
      <c r="K8" s="22" t="inlineStr">
        <is>
          <t>-</t>
        </is>
      </c>
      <c r="L8" s="22" t="inlineStr">
        <is>
          <t>-</t>
        </is>
      </c>
    </row>
    <row r="9">
      <c r="A9" s="3" t="inlineStr">
        <is>
          <t>Dev-Backend</t>
        </is>
      </c>
      <c r="B9" s="22" t="inlineStr">
        <is>
          <t>-</t>
        </is>
      </c>
      <c r="C9" s="22" t="inlineStr">
        <is>
          <t>-</t>
        </is>
      </c>
      <c r="D9" s="21" t="inlineStr">
        <is>
          <t>△</t>
        </is>
      </c>
      <c r="E9" s="20" t="inlineStr">
        <is>
          <t>○</t>
        </is>
      </c>
      <c r="F9" s="19" t="inlineStr">
        <is>
          <t>◎</t>
        </is>
      </c>
      <c r="G9" s="19" t="inlineStr">
        <is>
          <t>◎</t>
        </is>
      </c>
      <c r="H9" s="19" t="inlineStr">
        <is>
          <t>◎</t>
        </is>
      </c>
      <c r="I9" s="19" t="inlineStr">
        <is>
          <t>◎</t>
        </is>
      </c>
      <c r="J9" s="21" t="inlineStr">
        <is>
          <t>△</t>
        </is>
      </c>
      <c r="K9" s="20" t="inlineStr">
        <is>
          <t>○</t>
        </is>
      </c>
      <c r="L9" s="21" t="inlineStr">
        <is>
          <t>△</t>
        </is>
      </c>
    </row>
    <row r="10">
      <c r="A10" s="3" t="inlineStr">
        <is>
          <t>Dev-IaC</t>
        </is>
      </c>
      <c r="B10" s="22" t="inlineStr">
        <is>
          <t>-</t>
        </is>
      </c>
      <c r="C10" s="22" t="inlineStr">
        <is>
          <t>-</t>
        </is>
      </c>
      <c r="D10" s="21" t="inlineStr">
        <is>
          <t>△</t>
        </is>
      </c>
      <c r="E10" s="22" t="inlineStr">
        <is>
          <t>-</t>
        </is>
      </c>
      <c r="F10" s="20" t="inlineStr">
        <is>
          <t>○</t>
        </is>
      </c>
      <c r="G10" s="22" t="inlineStr">
        <is>
          <t>-</t>
        </is>
      </c>
      <c r="H10" s="19" t="inlineStr">
        <is>
          <t>◎</t>
        </is>
      </c>
      <c r="I10" s="21" t="inlineStr">
        <is>
          <t>△</t>
        </is>
      </c>
      <c r="J10" s="20" t="inlineStr">
        <is>
          <t>○</t>
        </is>
      </c>
      <c r="K10" s="19" t="inlineStr">
        <is>
          <t>◎</t>
        </is>
      </c>
      <c r="L10" s="19" t="inlineStr">
        <is>
          <t>◎</t>
        </is>
      </c>
    </row>
    <row r="11">
      <c r="A11" s="3" t="inlineStr">
        <is>
          <t>QA-Lead</t>
        </is>
      </c>
      <c r="B11" s="22" t="inlineStr">
        <is>
          <t>-</t>
        </is>
      </c>
      <c r="C11" s="21" t="inlineStr">
        <is>
          <t>△</t>
        </is>
      </c>
      <c r="D11" s="21" t="inlineStr">
        <is>
          <t>△</t>
        </is>
      </c>
      <c r="E11" s="21" t="inlineStr">
        <is>
          <t>△</t>
        </is>
      </c>
      <c r="F11" s="21" t="inlineStr">
        <is>
          <t>△</t>
        </is>
      </c>
      <c r="G11" s="20" t="inlineStr">
        <is>
          <t>○</t>
        </is>
      </c>
      <c r="H11" s="20" t="inlineStr">
        <is>
          <t>○</t>
        </is>
      </c>
      <c r="I11" s="19" t="inlineStr">
        <is>
          <t>◎</t>
        </is>
      </c>
      <c r="J11" s="19" t="inlineStr">
        <is>
          <t>◎</t>
        </is>
      </c>
      <c r="K11" s="20" t="inlineStr">
        <is>
          <t>○</t>
        </is>
      </c>
      <c r="L11" s="22" t="inlineStr">
        <is>
          <t>-</t>
        </is>
      </c>
    </row>
    <row r="12">
      <c r="A12" s="3" t="inlineStr">
        <is>
          <t>QA-Engineer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1" t="inlineStr">
        <is>
          <t>△</t>
        </is>
      </c>
      <c r="G12" s="19" t="inlineStr">
        <is>
          <t>◎</t>
        </is>
      </c>
      <c r="H12" s="20" t="inlineStr">
        <is>
          <t>○</t>
        </is>
      </c>
      <c r="I12" s="19" t="inlineStr">
        <is>
          <t>◎</t>
        </is>
      </c>
      <c r="J12" s="19" t="inlineStr">
        <is>
          <t>◎</t>
        </is>
      </c>
      <c r="K12" s="21" t="inlineStr">
        <is>
          <t>△</t>
        </is>
      </c>
      <c r="L12" s="22" t="inlineStr">
        <is>
          <t>-</t>
        </is>
      </c>
    </row>
    <row r="13">
      <c r="A13" s="3" t="inlineStr">
        <is>
          <t>QA-Automation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1" t="inlineStr">
        <is>
          <t>△</t>
        </is>
      </c>
      <c r="H13" s="20" t="inlineStr">
        <is>
          <t>○</t>
        </is>
      </c>
      <c r="I13" s="20" t="inlineStr">
        <is>
          <t>○</t>
        </is>
      </c>
      <c r="J13" s="19" t="inlineStr">
        <is>
          <t>◎</t>
        </is>
      </c>
      <c r="K13" s="22" t="inlineStr">
        <is>
          <t>-</t>
        </is>
      </c>
      <c r="L13" s="22" t="inlineStr">
        <is>
          <t>-</t>
        </is>
      </c>
    </row>
    <row r="16">
      <c r="A16" t="inlineStr">
        <is>
          <t>【凡例】</t>
        </is>
      </c>
    </row>
    <row r="17">
      <c r="A17" t="inlineStr">
        <is>
          <t>◎ = 主担当（Primary）</t>
        </is>
      </c>
    </row>
    <row r="18">
      <c r="A18" t="inlineStr">
        <is>
          <t>○ = 支援（Support）</t>
        </is>
      </c>
    </row>
    <row r="19">
      <c r="A19" t="inlineStr">
        <is>
          <t>△ = オンデマンド（On-demand）</t>
        </is>
      </c>
    </row>
    <row r="20">
      <c r="A20" t="inlineStr">
        <is>
          <t>- = 関与なし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2025-12-28T23:15:45Z</dcterms:created>
  <dcterms:modified xmlns:dcterms="http://purl.org/dc/terms/" xmlns:xsi="http://www.w3.org/2001/XMLSchema-instance" xsi:type="dcterms:W3CDTF">2025-12-28T23:15:45Z</dcterms:modified>
</cp:coreProperties>
</file>